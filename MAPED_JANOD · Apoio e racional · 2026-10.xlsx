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IONAL" sheetId="1" state="visible" r:id="rId3"/>
    <sheet name="ESCOPO" sheetId="2" state="visible" r:id="rId4"/>
    <sheet name="RESUMO" sheetId="3" state="visible" r:id="rId5"/>
    <sheet name="VA 2027" sheetId="4" state="visible" r:id="rId6"/>
    <sheet name="SHOOTING VA" sheetId="5" state="visible" r:id="rId7"/>
    <sheet name="RESULTADOS" sheetId="6" state="visible" r:id="rId8"/>
    <sheet name="SEEDING" sheetId="7" state="visible" r:id="rId9"/>
    <sheet name="HISTÓRICO" sheetId="8" state="visible" r:id="rId10"/>
    <sheet name="MÉXICO" sheetId="9" state="visible" r:id="rId11"/>
    <sheet name="PENDÊNCI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<sst xmlns="http://schemas.openxmlformats.org/spreadsheetml/2006/main" count="571" uniqueCount="326">
  <si>
    <t xml:space="preserve">MOVE · Maped e Janod · Planilha de apoio e racional do escopo</t>
  </si>
  <si>
    <t xml:space="preserve">Base de dados da apresentação "Maped e Janod · Escopo MOVE por frente" · levantamento de 21/10/2026</t>
  </si>
  <si>
    <t xml:space="preserve">OBJETIVO</t>
  </si>
  <si>
    <t xml:space="preserve">Reunir em um só lugar os números da apresentação, mostrar de onde cada valor veio e deixar claro o que é fato confirmado, o que é projeção e o que ainda depende do cliente.</t>
  </si>
  <si>
    <t xml:space="preserve">COMO LER</t>
  </si>
  <si>
    <t xml:space="preserve">Texto azul = valor digitado (input, vem de uma fonte). Texto preto = fórmula. Texto verde = fórmula que puxa de outra aba. Fundo amarelo = ponto a confirmar.</t>
  </si>
  <si>
    <t xml:space="preserve">ABAS</t>
  </si>
  <si>
    <t xml:space="preserve">ESCOPO (todas as linhas faturadas por marca e frente) · RESUMO (totais por frente, calculados do ESCOPO) · VA 2027 (orçamento, BV e faturamento MOVE) · SHOOTING VA (custos e margem) · RESULTADOS (mídia recente) · SEEDING (mailings) · HISTÓRICO (evolução do fee) · MÉXICO (proposta do site) · PENDÊNCIAS.</t>
  </si>
  <si>
    <t xml:space="preserve">FONTES</t>
  </si>
  <si>
    <t xml:space="preserve">Emissão de NF</t>
  </si>
  <si>
    <t xml:space="preserve">Planilha "Emissão NF · Modelo MOVE (a partir de 10-26)", aba 10-26 (emitida). Abas 11-26 e 12-26 repetem os mesmos valores, marcadas como projeção.</t>
  </si>
  <si>
    <t xml:space="preserve">NFs de setembro</t>
  </si>
  <si>
    <t xml:space="preserve">E-mails de faturamento de 02/10/2026: Maped NFs 3138 (R$ 33.100,00) e 3139 (reembolso R$ 994,53); Janod NFs 3140 (R$ 10.297,50) e 3141 (reembolso R$ 827,36).</t>
  </si>
  <si>
    <t xml:space="preserve">DRE e histórico</t>
  </si>
  <si>
    <t xml:space="preserve">"Move DRE 2026 v2" e "Move Faturamento Histórico Consolidado 2020 a 2027" (Drive).</t>
  </si>
  <si>
    <t xml:space="preserve">Volta às Aulas</t>
  </si>
  <si>
    <t xml:space="preserve">Planilha "VA MAPED 2027" (v3 de 08/10/2026), apresentação "Plano de Campanha VA 2027" e e-mail "Investimento dez/jan e mídia por plataforma" de 09/10/2026.</t>
  </si>
  <si>
    <t xml:space="preserve">Reuniões</t>
  </si>
  <si>
    <t xml:space="preserve">Tactiq: Escopo Maped (24/04/2026), Move I Maped (23/04), Marketplace (27/04), Budget (11/09), weeklies de 25/09, 02/10 e 09/10/2026.</t>
  </si>
  <si>
    <t xml:space="preserve">Resultados de mídia</t>
  </si>
  <si>
    <t xml:space="preserve">E-mail "[MOVE] Maped · Dados das plataformas de anúncio" (16/10, semana 09 a 16/10) e weekly de 09/10/2026 (Janod).</t>
  </si>
  <si>
    <t xml:space="preserve">Site México</t>
  </si>
  <si>
    <t xml:space="preserve">Documento "2026-10-20 · MOVE · Propuesta Sitio Maped México" e e-mail "Recrear el sitio web de Janod" (20 e 21/10).</t>
  </si>
  <si>
    <t xml:space="preserve">PREMISSAS</t>
  </si>
  <si>
    <t xml:space="preserve">1. Fee</t>
  </si>
  <si>
    <t xml:space="preserve">O fee mensal é a soma das linhas com FATURAR = SIM na aba ESCOPO. Linhas inclusas ou bonificadas ficam registradas com valor zero.</t>
  </si>
  <si>
    <t xml:space="preserve">2. Reembolsos</t>
  </si>
  <si>
    <t xml:space="preserve">Reembolsos (caixas, fretes, impressos) não fazem parte do fee. São cobrados em NF separada, a custo + 30% de gestão.</t>
  </si>
  <si>
    <t xml:space="preserve">3. Verba de mídia</t>
  </si>
  <si>
    <t xml:space="preserve">A verba dos veículos é paga pela Maped direto às plataformas e não passa pelo faturamento da MOVE. Referência de abril/2026: R$ 8.000/mês Maped e R$ 5.000/mês Janod.</t>
  </si>
  <si>
    <t xml:space="preserve">4. BV na Volta às Aulas</t>
  </si>
  <si>
    <t xml:space="preserve">A MOVE fatura 20% sobre a verba de mídia e 20% sobre o investimento em influenciadores pagos da campanha (BV), além do seeding.</t>
  </si>
  <si>
    <t xml:space="preserve">5. Mês de referência</t>
  </si>
  <si>
    <t xml:space="preserve">O mês da aba de emissão é o mês de emissão da NF; os serviços se referem ao mês anterior.</t>
  </si>
  <si>
    <t xml:space="preserve">PONTOS INCERTOS</t>
  </si>
  <si>
    <t xml:space="preserve">Ver aba PENDÊNCIAS. Principais: data do shooting VA (22/10 ou 12/11 provisória), linha Shopee com anúncios pausados, Google Maped sem faturamento, aprovação escrita do orçamento VA.</t>
  </si>
  <si>
    <t xml:space="preserve">Escopo recorrente por marca e frente</t>
  </si>
  <si>
    <t xml:space="preserve">Valores mensais de outubro/2026 (iguais em novembro e dezembro, projetados). Fonte principal: emissão de NF aba 10-26.</t>
  </si>
  <si>
    <t xml:space="preserve">Marca</t>
  </si>
  <si>
    <t xml:space="preserve">Frente</t>
  </si>
  <si>
    <t xml:space="preserve">Entrega / detalhamento</t>
  </si>
  <si>
    <t xml:space="preserve">Qtd. por mês</t>
  </si>
  <si>
    <t xml:space="preserve">Valor mensal</t>
  </si>
  <si>
    <t xml:space="preserve">Faturar</t>
  </si>
  <si>
    <t xml:space="preserve">Natureza</t>
  </si>
  <si>
    <t xml:space="preserve">Responsável MOVE</t>
  </si>
  <si>
    <t xml:space="preserve">Fonte / observação</t>
  </si>
  <si>
    <t xml:space="preserve">MAPED</t>
  </si>
  <si>
    <t xml:space="preserve">Mídia paga e tráfego</t>
  </si>
  <si>
    <t xml:space="preserve">Meta: seguidores e engajamento das 14 publicações (5 fotos, 4 gráficos, 5 vídeos)</t>
  </si>
  <si>
    <t xml:space="preserve">SIM</t>
  </si>
  <si>
    <t xml:space="preserve">Fixo</t>
  </si>
  <si>
    <t xml:space="preserve">Gabrielle Duarte</t>
  </si>
  <si>
    <t xml:space="preserve">Emissão 10-26</t>
  </si>
  <si>
    <t xml:space="preserve">Google: branding, concorrentes, YouTube, PMax</t>
  </si>
  <si>
    <t xml:space="preserve">NÃO</t>
  </si>
  <si>
    <t xml:space="preserve">Sem valor</t>
  </si>
  <si>
    <t xml:space="preserve">Emissão 10-26: "sem valor na aba 10/26". Confirmar motivo.</t>
  </si>
  <si>
    <t xml:space="preserve">TikTok: patrocínio dos 5 vídeos</t>
  </si>
  <si>
    <t xml:space="preserve">Amazon Ads: produtos patrocinados</t>
  </si>
  <si>
    <t xml:space="preserve">Emissão 10-26. Marketplaces entraram em fev/26.</t>
  </si>
  <si>
    <t xml:space="preserve">Mercado Livre Ads</t>
  </si>
  <si>
    <t xml:space="preserve">Shopee Ads</t>
  </si>
  <si>
    <t xml:space="preserve">Anúncios pausados em 01/10 (contrato Lepok). Confirmar com a Maped.</t>
  </si>
  <si>
    <t xml:space="preserve">SAC 3.0</t>
  </si>
  <si>
    <t xml:space="preserve">Redes: Instagram + stories, Facebook + Messenger, TikTok. Até 1.000 interações, seg a seg, repost 2x ao dia, SLA 24h</t>
  </si>
  <si>
    <t xml:space="preserve">Naiara Capuzzo</t>
  </si>
  <si>
    <t xml:space="preserve">SAC por e-mail, até 500 mensagens, seg a seg</t>
  </si>
  <si>
    <t xml:space="preserve">Reclamações e envios: planilhas de endereços, controle e acompanhamento</t>
  </si>
  <si>
    <t xml:space="preserve">Naiara Capuzzo / Ariene Nogueira</t>
  </si>
  <si>
    <t xml:space="preserve">RD Station SAC para WhatsApp e automações do bot</t>
  </si>
  <si>
    <t xml:space="preserve">Reclame Aqui: atendimento</t>
  </si>
  <si>
    <t xml:space="preserve">Bonificado</t>
  </si>
  <si>
    <t xml:space="preserve">Produção de conteúdo</t>
  </si>
  <si>
    <t xml:space="preserve">5 fotos + 4 gráficos</t>
  </si>
  <si>
    <t xml:space="preserve">Raquel Da Paz / Laiane Moura</t>
  </si>
  <si>
    <t xml:space="preserve">4 vídeos FR (adaptação do material da Maped França)</t>
  </si>
  <si>
    <t xml:space="preserve">Raquel Da Paz</t>
  </si>
  <si>
    <t xml:space="preserve">1 vídeo BR (roteiro e captação MOVE)</t>
  </si>
  <si>
    <t xml:space="preserve">Redes sociais e inteligência</t>
  </si>
  <si>
    <t xml:space="preserve">14 Meta · 8 Pinterest · 5 TikTok · 2 YouTube, deck mensal</t>
  </si>
  <si>
    <t xml:space="preserve">Incluso</t>
  </si>
  <si>
    <t xml:space="preserve">Ana Beatriz Morgado</t>
  </si>
  <si>
    <t xml:space="preserve">Emissão 10-26: incluso no pacote</t>
  </si>
  <si>
    <t xml:space="preserve">Influenciadores</t>
  </si>
  <si>
    <t xml:space="preserve">7 seedings, MOVE envia (curadoria, mailing, kits, expedição e relatório)</t>
  </si>
  <si>
    <t xml:space="preserve">Bia (Influenciadores)</t>
  </si>
  <si>
    <t xml:space="preserve">Emissão 10-26. Caixas e fretes no reembolso.</t>
  </si>
  <si>
    <t xml:space="preserve">JANOD</t>
  </si>
  <si>
    <t xml:space="preserve">3 gráficos</t>
  </si>
  <si>
    <t xml:space="preserve">Carolina Loureiro</t>
  </si>
  <si>
    <t xml:space="preserve">3 fotos</t>
  </si>
  <si>
    <t xml:space="preserve">2 vídeos 9:16</t>
  </si>
  <si>
    <t xml:space="preserve">8 Meta · 8 Pinterest · 2 TikTok · 2 YouTube, relatório mensal</t>
  </si>
  <si>
    <t xml:space="preserve">Meta: 6 posts + 2 vídeos</t>
  </si>
  <si>
    <t xml:space="preserve">Google: 6 posts + 2 vídeos (branding, concorrentes, YouTube, PMax)</t>
  </si>
  <si>
    <t xml:space="preserve">Facebook e Instagram (feed, direct, stories), FAQ, alinhamento semanal. Checagem 3x ao dia, seg a sex, até 300 interações</t>
  </si>
  <si>
    <t xml:space="preserve">3 seedings, MOVE envia</t>
  </si>
  <si>
    <t xml:space="preserve">Fee mensal MAPED</t>
  </si>
  <si>
    <t xml:space="preserve">Soma das linhas com Faturar = SIM</t>
  </si>
  <si>
    <t xml:space="preserve">Fee mensal JANOD</t>
  </si>
  <si>
    <t xml:space="preserve">Fee mensal do grupo</t>
  </si>
  <si>
    <t xml:space="preserve">Maped + Janod</t>
  </si>
  <si>
    <t xml:space="preserve">Fee anualizado do grupo</t>
  </si>
  <si>
    <t xml:space="preserve">Fee mensal x 12</t>
  </si>
  <si>
    <t xml:space="preserve">Resumo do fee por frente</t>
  </si>
  <si>
    <t xml:space="preserve">Calculado automaticamente a partir da aba ESCOPO (SUMIFS). Participação = valor da frente / fee da marca.</t>
  </si>
  <si>
    <t xml:space="preserve">Maped</t>
  </si>
  <si>
    <t xml:space="preserve">% Maped</t>
  </si>
  <si>
    <t xml:space="preserve">Janod</t>
  </si>
  <si>
    <t xml:space="preserve">% Janod</t>
  </si>
  <si>
    <t xml:space="preserve">Total do fee mensal</t>
  </si>
  <si>
    <t xml:space="preserve">Conferência com a NF de setembro</t>
  </si>
  <si>
    <t xml:space="preserve">NF 3138 (Maped)</t>
  </si>
  <si>
    <t xml:space="preserve">NF 3140 (Janod)</t>
  </si>
  <si>
    <t xml:space="preserve">Fee do grupo por mês</t>
  </si>
  <si>
    <t xml:space="preserve">Reembolso + 30% (taxa de gestão)</t>
  </si>
  <si>
    <t xml:space="preserve">Reembolso Maped set/26 (NF 3139)</t>
  </si>
  <si>
    <t xml:space="preserve">Reembolso Janod set/26 (NF 3141)</t>
  </si>
  <si>
    <t xml:space="preserve">Faturamento total de setembro (fee + reembolsos)</t>
  </si>
  <si>
    <t xml:space="preserve">Volta às Aulas 2027 · orçamento v3 (08/10/2026)</t>
  </si>
  <si>
    <t xml:space="preserve">Campanha de 11/12/2026 a 05/02/2027. Verba de mídia e influenciadores paga pela Maped; MOVE fatura shooting, seeding e BV.</t>
  </si>
  <si>
    <t xml:space="preserve">Premissas</t>
  </si>
  <si>
    <t xml:space="preserve">BV sobre mídia</t>
  </si>
  <si>
    <t xml:space="preserve">BV sobre influenciadores pagos</t>
  </si>
  <si>
    <t xml:space="preserve">Shooting (faturado em outubro)</t>
  </si>
  <si>
    <t xml:space="preserve">Mídia por plataforma (verba do cliente)</t>
  </si>
  <si>
    <t xml:space="preserve">Dezembro</t>
  </si>
  <si>
    <t xml:space="preserve">Janeiro</t>
  </si>
  <si>
    <t xml:space="preserve">Total</t>
  </si>
  <si>
    <t xml:space="preserve">Observação</t>
  </si>
  <si>
    <t xml:space="preserve">Meta</t>
  </si>
  <si>
    <t xml:space="preserve">Google</t>
  </si>
  <si>
    <t xml:space="preserve">TikTok</t>
  </si>
  <si>
    <t xml:space="preserve">Amazon Ads</t>
  </si>
  <si>
    <t xml:space="preserve">Pinterest (teste)</t>
  </si>
  <si>
    <t xml:space="preserve">Teste, Pinterest pago saiu do fee recorrente</t>
  </si>
  <si>
    <t xml:space="preserve">Shopee</t>
  </si>
  <si>
    <t xml:space="preserve">Confirmar: anúncios Shopee pausados (Lepok)</t>
  </si>
  <si>
    <t xml:space="preserve">Total mídia</t>
  </si>
  <si>
    <t xml:space="preserve">Outras linhas</t>
  </si>
  <si>
    <t xml:space="preserve">Influenciadores pagos (verba do cliente)</t>
  </si>
  <si>
    <t xml:space="preserve">NF historicamente paga pela Maped</t>
  </si>
  <si>
    <t xml:space="preserve">Seeding (MOVE)</t>
  </si>
  <si>
    <t xml:space="preserve">20 envios em dez + 30 em jan = 50</t>
  </si>
  <si>
    <t xml:space="preserve">BV mídia (MOVE)</t>
  </si>
  <si>
    <t xml:space="preserve">20% sobre a verba de mídia</t>
  </si>
  <si>
    <t xml:space="preserve">BV influenciadores (MOVE)</t>
  </si>
  <si>
    <t xml:space="preserve">20% sobre influenciadores pagos</t>
  </si>
  <si>
    <t xml:space="preserve">Shooting (MOVE, outubro)</t>
  </si>
  <si>
    <t xml:space="preserve">Ver aba SHOOTING VA</t>
  </si>
  <si>
    <t xml:space="preserve">Total da campanha</t>
  </si>
  <si>
    <t xml:space="preserve">Deve bater com R$ 188.880 do plano</t>
  </si>
  <si>
    <t xml:space="preserve">Faturamento MOVE</t>
  </si>
  <si>
    <t xml:space="preserve">Deve bater com R$ 58.980 do plano</t>
  </si>
  <si>
    <t xml:space="preserve">Conferência com o plano</t>
  </si>
  <si>
    <t xml:space="preserve">Fase da campanha</t>
  </si>
  <si>
    <t xml:space="preserve">Início</t>
  </si>
  <si>
    <t xml:space="preserve">Fim</t>
  </si>
  <si>
    <t xml:space="preserve">% da verba</t>
  </si>
  <si>
    <t xml:space="preserve">Foco</t>
  </si>
  <si>
    <t xml:space="preserve">1. Aquecimento</t>
  </si>
  <si>
    <t xml:space="preserve">11/12/2026</t>
  </si>
  <si>
    <t xml:space="preserve">23/12/2026</t>
  </si>
  <si>
    <t xml:space="preserve">Lançamento do manifesto, 20 influenciadores de SP com kit em mãos</t>
  </si>
  <si>
    <t xml:space="preserve">2. A Lista</t>
  </si>
  <si>
    <t xml:space="preserve">24/12/2026</t>
  </si>
  <si>
    <t xml:space="preserve">11/01/2027</t>
  </si>
  <si>
    <t xml:space="preserve">Lista de material, volta com força em 05/01</t>
  </si>
  <si>
    <t xml:space="preserve">3. Pico</t>
  </si>
  <si>
    <t xml:space="preserve">12/01/2027</t>
  </si>
  <si>
    <t xml:space="preserve">26/01/2027</t>
  </si>
  <si>
    <t xml:space="preserve">Maior verba, segunda e terceira ondas de seeding</t>
  </si>
  <si>
    <t xml:space="preserve">4. Última chamada</t>
  </si>
  <si>
    <t xml:space="preserve">27/01/2027</t>
  </si>
  <si>
    <t xml:space="preserve">05/02/2027</t>
  </si>
  <si>
    <t xml:space="preserve">Repique até o Carnaval</t>
  </si>
  <si>
    <t xml:space="preserve">Status: aguardando aprovação por escrito de Bianca Dias e Juliana Patudo (orçamento, cronograma e divisão por mês).</t>
  </si>
  <si>
    <t xml:space="preserve">Shooting Volta às Aulas 2027 · custo e margem</t>
  </si>
  <si>
    <t xml:space="preserve">Entrega: 8 fotos + 3 vídeos (1 manifesto e 2 de 30s). Studio Dupret, elenco infantil Cintra, sob alvará.</t>
  </si>
  <si>
    <t xml:space="preserve">Item</t>
  </si>
  <si>
    <t xml:space="preserve">Custo previsto</t>
  </si>
  <si>
    <t xml:space="preserve">Aluguel do estúdio (Studio Dupret)</t>
  </si>
  <si>
    <t xml:space="preserve">Contrato aprovado por Rodrigo Westphal em 20/10, até 22 pessoas</t>
  </si>
  <si>
    <t xml:space="preserve">Videomaker (Will)</t>
  </si>
  <si>
    <t xml:space="preserve">Willian Beckmann</t>
  </si>
  <si>
    <t xml:space="preserve">Fotógrafa (Raphaela Neves)</t>
  </si>
  <si>
    <t xml:space="preserve">Elenco infantil (5 crianças)</t>
  </si>
  <si>
    <t xml:space="preserve">R$ 600 + 20% de agenciamento = R$ 720 por criança</t>
  </si>
  <si>
    <t xml:space="preserve">Alvará</t>
  </si>
  <si>
    <t xml:space="preserve">MOVE é a requerente; Cintra protocola</t>
  </si>
  <si>
    <t xml:space="preserve">Alimentação</t>
  </si>
  <si>
    <t xml:space="preserve">Maquiagem</t>
  </si>
  <si>
    <t xml:space="preserve">Figurino</t>
  </si>
  <si>
    <t xml:space="preserve">Jeans, tênis branco, blusa azul-bebê ou rosa</t>
  </si>
  <si>
    <t xml:space="preserve">Custo total previsto</t>
  </si>
  <si>
    <t xml:space="preserve">Valor faturado à Maped</t>
  </si>
  <si>
    <t xml:space="preserve">Aba VA 2027</t>
  </si>
  <si>
    <t xml:space="preserve">Margem MOVE</t>
  </si>
  <si>
    <t xml:space="preserve">Margem %</t>
  </si>
  <si>
    <t xml:space="preserve">Data</t>
  </si>
  <si>
    <t xml:space="preserve">12/11/2026</t>
  </si>
  <si>
    <t xml:space="preserve">PROVISÓRIA, condicionada ao alvará. E-mails jurídicos citavam 22/10; em 22/10 ficou a diária de vídeos mensais com o Will.</t>
  </si>
  <si>
    <t xml:space="preserve">Resultados recentes de mídia</t>
  </si>
  <si>
    <t xml:space="preserve">Maped: e-mail de 16/10 (semana 09 a 16/10). Janod: weekly de 09/10/2026. Investimento = verba do cliente.</t>
  </si>
  <si>
    <t xml:space="preserve">Plataforma</t>
  </si>
  <si>
    <t xml:space="preserve">Métrica principal</t>
  </si>
  <si>
    <t xml:space="preserve">Resultado</t>
  </si>
  <si>
    <t xml:space="preserve">Investimento</t>
  </si>
  <si>
    <t xml:space="preserve">Vendas</t>
  </si>
  <si>
    <t xml:space="preserve">Custo por resultado</t>
  </si>
  <si>
    <t xml:space="preserve">ROAS</t>
  </si>
  <si>
    <t xml:space="preserve">Pessoas alcançadas</t>
  </si>
  <si>
    <t xml:space="preserve">Conversões</t>
  </si>
  <si>
    <t xml:space="preserve">390 cliques</t>
  </si>
  <si>
    <t xml:space="preserve">Visualizações</t>
  </si>
  <si>
    <t xml:space="preserve">Vendas atribuídas</t>
  </si>
  <si>
    <t xml:space="preserve">Alcance</t>
  </si>
  <si>
    <t xml:space="preserve">CTR 2,55%, 530 visitas à landing</t>
  </si>
  <si>
    <t xml:space="preserve">127 mil impressões</t>
  </si>
  <si>
    <t xml:space="preserve">CTR 3,63%, 845 curtidas</t>
  </si>
  <si>
    <t xml:space="preserve">Mailings de seeding</t>
  </si>
  <si>
    <t xml:space="preserve">Maped: 7 por mês. Janod: 3 por mês. Mailings de nov, dez e jan enviados em 21/10.</t>
  </si>
  <si>
    <t xml:space="preserve">Mês</t>
  </si>
  <si>
    <t xml:space="preserve">Perfil</t>
  </si>
  <si>
    <t xml:space="preserve">Status</t>
  </si>
  <si>
    <t xml:space="preserve">Nov/26</t>
  </si>
  <si>
    <t xml:space="preserve">@teacherpaulagabriela</t>
  </si>
  <si>
    <t xml:space="preserve">Enviado p/ aprovação 21/10</t>
  </si>
  <si>
    <t xml:space="preserve">@jaquesfernandes</t>
  </si>
  <si>
    <t xml:space="preserve">@sofiakalimann</t>
  </si>
  <si>
    <t xml:space="preserve">@mjenckel</t>
  </si>
  <si>
    <t xml:space="preserve">@rebeccaarielloficial</t>
  </si>
  <si>
    <t xml:space="preserve">@gabriellydaf</t>
  </si>
  <si>
    <t xml:space="preserve">@lanas_daily</t>
  </si>
  <si>
    <t xml:space="preserve">Dez/26</t>
  </si>
  <si>
    <t xml:space="preserve">@iriscustodiob</t>
  </si>
  <si>
    <t xml:space="preserve">@camilepasquarelli</t>
  </si>
  <si>
    <t xml:space="preserve">@mamaekaren</t>
  </si>
  <si>
    <t xml:space="preserve">@arthuryera</t>
  </si>
  <si>
    <t xml:space="preserve">@maya.dias</t>
  </si>
  <si>
    <t xml:space="preserve">@amaeriana</t>
  </si>
  <si>
    <t xml:space="preserve">@gabimuxagata</t>
  </si>
  <si>
    <t xml:space="preserve">Set/26</t>
  </si>
  <si>
    <t xml:space="preserve">@carlabalta</t>
  </si>
  <si>
    <t xml:space="preserve">Enviado</t>
  </si>
  <si>
    <t xml:space="preserve">@joaolucas_baby__</t>
  </si>
  <si>
    <t xml:space="preserve">@fabisantina</t>
  </si>
  <si>
    <t xml:space="preserve">@luaracosta</t>
  </si>
  <si>
    <t xml:space="preserve">Aprovado 21/10</t>
  </si>
  <si>
    <t xml:space="preserve">@leticia</t>
  </si>
  <si>
    <t xml:space="preserve">@betalotti</t>
  </si>
  <si>
    <t xml:space="preserve">@mayaraosa</t>
  </si>
  <si>
    <t xml:space="preserve">@giuliarcastro</t>
  </si>
  <si>
    <t xml:space="preserve">@cidinha</t>
  </si>
  <si>
    <t xml:space="preserve">Jan/27</t>
  </si>
  <si>
    <t xml:space="preserve">@juliacardones</t>
  </si>
  <si>
    <t xml:space="preserve">@dudassilva</t>
  </si>
  <si>
    <t xml:space="preserve">@rubiatretto</t>
  </si>
  <si>
    <t xml:space="preserve">Contagem</t>
  </si>
  <si>
    <t xml:space="preserve">Evolução do fee mensal</t>
  </si>
  <si>
    <t xml:space="preserve">Fonte: abas 10/25 e 11/25 da Emissão Controle, DRE 2026 e Faturamento Histórico Consolidado.</t>
  </si>
  <si>
    <t xml:space="preserve">Período</t>
  </si>
  <si>
    <t xml:space="preserve">O que mudou</t>
  </si>
  <si>
    <t xml:space="preserve">Out/2025</t>
  </si>
  <si>
    <t xml:space="preserve">Maped com 12 posts, 6 vídeos, Pinterest e Google pagos. Valores incluem reembolso.</t>
  </si>
  <si>
    <t xml:space="preserve">Jan/2026</t>
  </si>
  <si>
    <t xml:space="preserve">Maped: 12 posts e vídeo sem França.</t>
  </si>
  <si>
    <t xml:space="preserve">Fev a mai/2026</t>
  </si>
  <si>
    <t xml:space="preserve">Maped R$ 28 mil (mar a mai). Janod cerca de R$ 8 mil, sem Google. Marketplaces entram em fev/26.</t>
  </si>
  <si>
    <t xml:space="preserve">Jun a dez/2026</t>
  </si>
  <si>
    <t xml:space="preserve">Escopo por frente (abr/26): 9 posts + 4 vídeos FR + 1 vídeo BR na Maped; Janod com Google de volta e seeding.</t>
  </si>
  <si>
    <t xml:space="preserve">Variação jan/26 → atual (Maped)</t>
  </si>
  <si>
    <t xml:space="preserve">Proposta: site institucional Maped México</t>
  </si>
  <si>
    <t xml:space="preserve">Enviada em 20 e 21/10/2026 a Nathalia Garzón (Maped México), via Bianca Dias e Juliana Patudo. Status: aguardando resposta.</t>
  </si>
  <si>
    <t xml:space="preserve">Câmbio de referência (R$ por USD)</t>
  </si>
  <si>
    <t xml:space="preserve">Implícito na proposta (R$ 9.500 ≈ USD 1.750). Ajustar se necessário.</t>
  </si>
  <si>
    <t xml:space="preserve">Valor (R$)</t>
  </si>
  <si>
    <t xml:space="preserve">Recorrência</t>
  </si>
  <si>
    <t xml:space="preserve">Valor (USD)</t>
  </si>
  <si>
    <t xml:space="preserve">Escopo</t>
  </si>
  <si>
    <t xml:space="preserve">Site completo com medição</t>
  </si>
  <si>
    <t xml:space="preserve">Único</t>
  </si>
  <si>
    <t xml:space="preserve">Arquitetura do janod.com.br em espanhol, catálogo até 200 produtos, onde comprar, blog 3 artigos, GTM, GA4, Consent Mode v2, Search Console, SEO técnico. Hosting do 1º ano incluso.</t>
  </si>
  <si>
    <t xml:space="preserve">Manutenção e relatório (opcional)</t>
  </si>
  <si>
    <t xml:space="preserve">Mensal</t>
  </si>
  <si>
    <t xml:space="preserve">Até 10 cadastros ou alterações de produto por mês e relatório mensal</t>
  </si>
  <si>
    <t xml:space="preserve">Conteúdo e SEO (opcional)</t>
  </si>
  <si>
    <t xml:space="preserve">4 artigos por mês</t>
  </si>
  <si>
    <t xml:space="preserve">Hosting a partir do 2º ano (sem manutenção)</t>
  </si>
  <si>
    <t xml:space="preserve">Anual</t>
  </si>
  <si>
    <t xml:space="preserve">Receita do 1º ano com os dois opcionais</t>
  </si>
  <si>
    <t xml:space="preserve">Site + 12 meses de manutenção e de SEO</t>
  </si>
  <si>
    <t xml:space="preserve">Receita do 1º ano só com o site</t>
  </si>
  <si>
    <t xml:space="preserve">Pendências e pontos a confirmar</t>
  </si>
  <si>
    <t xml:space="preserve">#</t>
  </si>
  <si>
    <t xml:space="preserve">Ponto</t>
  </si>
  <si>
    <t xml:space="preserve">Detalhe</t>
  </si>
  <si>
    <t xml:space="preserve">Quem</t>
  </si>
  <si>
    <t xml:space="preserve">De acordo da Volta às Aulas</t>
  </si>
  <si>
    <t xml:space="preserve">Aprovação por escrito do orçamento v3, cronograma e divisão por mês.</t>
  </si>
  <si>
    <t xml:space="preserve">Bianca Dias e Juliana Patudo</t>
  </si>
  <si>
    <t xml:space="preserve">Alvará e data do shooting</t>
  </si>
  <si>
    <t xml:space="preserve">Data provisória 12/11. Assinar contratos da Cintra e do Studio Dupret na Clicksign.</t>
  </si>
  <si>
    <t xml:space="preserve">Marina / Jurídico MOVE</t>
  </si>
  <si>
    <t xml:space="preserve">Linha Shopee na emissão</t>
  </si>
  <si>
    <t xml:space="preserve">Anúncios pausados desde 01/10 (Lepok), mas a linha de R$ 1.500 segue na emissão.</t>
  </si>
  <si>
    <t xml:space="preserve">Marina com a Maped</t>
  </si>
  <si>
    <t xml:space="preserve">Google sem faturamento</t>
  </si>
  <si>
    <t xml:space="preserve">Linha consta como "não faturar". Confirmar se é bonificação ou suspensão.</t>
  </si>
  <si>
    <t xml:space="preserve">Marina</t>
  </si>
  <si>
    <t xml:space="preserve">Ambas</t>
  </si>
  <si>
    <t xml:space="preserve">GTM dos sites</t>
  </si>
  <si>
    <t xml:space="preserve">Janod sem page_view no GA4; Maped sem medição de cliques em lojas e Fale Conosco.</t>
  </si>
  <si>
    <t xml:space="preserve">Cliente / agência do site</t>
  </si>
  <si>
    <t xml:space="preserve">Taxa de 30% em contrato</t>
  </si>
  <si>
    <t xml:space="preserve">Formalizar a gestão de 30% sobre reembolsos e insumos e como mostrar na NF.</t>
  </si>
  <si>
    <t xml:space="preserve">Marina / Jurídico</t>
  </si>
  <si>
    <t xml:space="preserve">Escopo 2027</t>
  </si>
  <si>
    <t xml:space="preserve">Renegociação, TikTok Shop e linhas de Janod deixadas para 2027.</t>
  </si>
  <si>
    <t xml:space="preserve">Maped México</t>
  </si>
  <si>
    <t xml:space="preserve">Retorno da proposta do site</t>
  </si>
  <si>
    <t xml:space="preserve">Aguardando resposta de Nathalia Garzón.</t>
  </si>
  <si>
    <t xml:space="preserve">Bianca / Nathalia</t>
  </si>
  <si>
    <t xml:space="preserve">Valor da collab Niina Secrets</t>
  </si>
  <si>
    <t xml:space="preserve">Valor do contrato não localizado nos e-mails e planilhas.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</si>
</sst>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&quot;R$ &quot;#,##0.00;&quot;(R$ &quot;#,##0.00\);\-"/>
    <numFmt numFmtId="167" formatCode="0.0%"/>
    <numFmt numFmtId="168" formatCode="&quot;R$ &quot;#,##0;&quot;(R$ &quot;#,##0\);\-"/>
    <numFmt numFmtId="169" formatCode="&quot;R$ &quot;#,##0.0000"/>
    <numFmt numFmtId="170" formatCode="0.00"/>
    <numFmt numFmtId="171" formatCode="&quot;USD 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33F"/>
      <name val="Arial"/>
      <family val="0"/>
      <charset val="1"/>
    </font>
    <font>
      <i val="true"/>
      <sz val="9"/>
      <color rgb="FF5E6A82"/>
      <name val="Arial"/>
      <family val="0"/>
      <charset val="1"/>
    </font>
    <font>
      <b val="true"/>
      <sz val="10"/>
      <color rgb="FF16233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233F"/>
        <bgColor rgb="FF003366"/>
      </patternFill>
    </fill>
    <fill>
      <patternFill patternType="solid">
        <fgColor rgb="FFEEE8DA"/>
        <bgColor rgb="FFD9D4C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808080"/>
      <rgbColor rgb="FF9999FF"/>
      <rgbColor rgb="FF993366"/>
      <rgbColor rgb="FFEEE8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A8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35.0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3" t="s">
        <v>8</v>
      </c>
      <c r="B8" s="4"/>
    </row>
    <row r="9" customFormat="false" ht="23.85" hidden="false" customHeight="false" outlineLevel="0" collapsed="false">
      <c r="A9" s="3" t="s">
        <v>9</v>
      </c>
      <c r="B9" s="4" t="s">
        <v>10</v>
      </c>
    </row>
    <row r="10" customFormat="false" ht="23.8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23.85" hidden="false" customHeight="false" outlineLevel="0" collapsed="false">
      <c r="A12" s="3" t="s">
        <v>15</v>
      </c>
      <c r="B12" s="4" t="s">
        <v>16</v>
      </c>
    </row>
    <row r="13" customFormat="false" ht="23.8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3" t="s">
        <v>23</v>
      </c>
      <c r="B17" s="4"/>
    </row>
    <row r="18" customFormat="false" ht="23.8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 t="s">
        <v>26</v>
      </c>
      <c r="B19" s="4" t="s">
        <v>27</v>
      </c>
    </row>
    <row r="20" customFormat="false" ht="23.85" hidden="false" customHeight="false" outlineLevel="0" collapsed="false">
      <c r="A20" s="3" t="s">
        <v>28</v>
      </c>
      <c r="B20" s="4" t="s">
        <v>29</v>
      </c>
    </row>
    <row r="21" customFormat="false" ht="23.85" hidden="false" customHeight="false" outlineLevel="0" collapsed="false">
      <c r="A21" s="3" t="s">
        <v>30</v>
      </c>
      <c r="B21" s="4" t="s">
        <v>31</v>
      </c>
    </row>
    <row r="22" customFormat="false" ht="15" hidden="false" customHeight="false" outlineLevel="0" collapsed="false">
      <c r="A22" s="3" t="s">
        <v>32</v>
      </c>
      <c r="B22" s="4" t="s">
        <v>33</v>
      </c>
    </row>
    <row r="23" customFormat="false" ht="15" hidden="false" customHeight="false" outlineLevel="0" collapsed="false">
      <c r="A23" s="3"/>
      <c r="B23" s="4"/>
    </row>
    <row r="24" customFormat="false" ht="23.85" hidden="false" customHeight="false" outlineLevel="0" collapsed="false">
      <c r="A24" s="3" t="s">
        <v>34</v>
      </c>
      <c r="B24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5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21.75" hidden="false" customHeight="true" outlineLevel="0" collapsed="false">
      <c r="A4" s="7" t="s">
        <v>38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43</v>
      </c>
      <c r="G4" s="7" t="s">
        <v>44</v>
      </c>
      <c r="H4" s="7" t="s">
        <v>45</v>
      </c>
      <c r="I4" s="7" t="s">
        <v>46</v>
      </c>
    </row>
    <row r="5" customFormat="false" ht="23.85" hidden="false" customHeight="false" outlineLevel="0" collapsed="false">
      <c r="A5" s="8" t="s">
        <v>47</v>
      </c>
      <c r="B5" s="8" t="s">
        <v>48</v>
      </c>
      <c r="C5" s="8" t="s">
        <v>49</v>
      </c>
      <c r="D5" s="9" t="n">
        <v>14</v>
      </c>
      <c r="E5" s="10" t="n">
        <v>3849</v>
      </c>
      <c r="F5" s="8" t="s">
        <v>50</v>
      </c>
      <c r="G5" s="8" t="s">
        <v>51</v>
      </c>
      <c r="H5" s="8" t="s">
        <v>52</v>
      </c>
      <c r="I5" s="8" t="s">
        <v>53</v>
      </c>
    </row>
    <row r="6" customFormat="false" ht="23.85" hidden="false" customHeight="false" outlineLevel="0" collapsed="false">
      <c r="A6" s="8" t="s">
        <v>47</v>
      </c>
      <c r="B6" s="8" t="s">
        <v>48</v>
      </c>
      <c r="C6" s="8" t="s">
        <v>54</v>
      </c>
      <c r="E6" s="10" t="n">
        <v>0</v>
      </c>
      <c r="F6" s="8" t="s">
        <v>55</v>
      </c>
      <c r="G6" s="8" t="s">
        <v>56</v>
      </c>
      <c r="H6" s="8" t="s">
        <v>52</v>
      </c>
      <c r="I6" s="11" t="s">
        <v>57</v>
      </c>
    </row>
    <row r="7" customFormat="false" ht="15" hidden="false" customHeight="false" outlineLevel="0" collapsed="false">
      <c r="A7" s="8" t="s">
        <v>47</v>
      </c>
      <c r="B7" s="8" t="s">
        <v>48</v>
      </c>
      <c r="C7" s="8" t="s">
        <v>58</v>
      </c>
      <c r="D7" s="9" t="n">
        <v>5</v>
      </c>
      <c r="E7" s="10" t="n">
        <v>1745</v>
      </c>
      <c r="F7" s="8" t="s">
        <v>50</v>
      </c>
      <c r="G7" s="8" t="s">
        <v>51</v>
      </c>
      <c r="H7" s="8" t="s">
        <v>52</v>
      </c>
      <c r="I7" s="8" t="s">
        <v>53</v>
      </c>
    </row>
    <row r="8" customFormat="false" ht="23.85" hidden="false" customHeight="false" outlineLevel="0" collapsed="false">
      <c r="A8" s="8" t="s">
        <v>47</v>
      </c>
      <c r="B8" s="8" t="s">
        <v>48</v>
      </c>
      <c r="C8" s="8" t="s">
        <v>59</v>
      </c>
      <c r="E8" s="10" t="n">
        <v>1500</v>
      </c>
      <c r="F8" s="8" t="s">
        <v>50</v>
      </c>
      <c r="G8" s="8" t="s">
        <v>51</v>
      </c>
      <c r="H8" s="8" t="s">
        <v>52</v>
      </c>
      <c r="I8" s="8" t="s">
        <v>60</v>
      </c>
    </row>
    <row r="9" customFormat="false" ht="15" hidden="false" customHeight="false" outlineLevel="0" collapsed="false">
      <c r="A9" s="8" t="s">
        <v>47</v>
      </c>
      <c r="B9" s="8" t="s">
        <v>48</v>
      </c>
      <c r="C9" s="8" t="s">
        <v>61</v>
      </c>
      <c r="E9" s="10" t="n">
        <v>1500</v>
      </c>
      <c r="F9" s="8" t="s">
        <v>50</v>
      </c>
      <c r="G9" s="8" t="s">
        <v>51</v>
      </c>
      <c r="H9" s="8" t="s">
        <v>52</v>
      </c>
      <c r="I9" s="8" t="s">
        <v>53</v>
      </c>
    </row>
    <row r="10" customFormat="false" ht="23.85" hidden="false" customHeight="false" outlineLevel="0" collapsed="false">
      <c r="A10" s="8" t="s">
        <v>47</v>
      </c>
      <c r="B10" s="8" t="s">
        <v>48</v>
      </c>
      <c r="C10" s="8" t="s">
        <v>62</v>
      </c>
      <c r="E10" s="10" t="n">
        <v>1500</v>
      </c>
      <c r="F10" s="8" t="s">
        <v>50</v>
      </c>
      <c r="G10" s="8" t="s">
        <v>51</v>
      </c>
      <c r="H10" s="8" t="s">
        <v>52</v>
      </c>
      <c r="I10" s="11" t="s">
        <v>63</v>
      </c>
    </row>
    <row r="11" customFormat="false" ht="23.85" hidden="false" customHeight="false" outlineLevel="0" collapsed="false">
      <c r="A11" s="8" t="s">
        <v>47</v>
      </c>
      <c r="B11" s="8" t="s">
        <v>64</v>
      </c>
      <c r="C11" s="8" t="s">
        <v>65</v>
      </c>
      <c r="D11" s="9" t="n">
        <v>1000</v>
      </c>
      <c r="E11" s="10" t="n">
        <v>6048</v>
      </c>
      <c r="F11" s="8" t="s">
        <v>50</v>
      </c>
      <c r="G11" s="8" t="s">
        <v>51</v>
      </c>
      <c r="H11" s="8" t="s">
        <v>66</v>
      </c>
      <c r="I11" s="8" t="s">
        <v>53</v>
      </c>
    </row>
    <row r="12" customFormat="false" ht="15" hidden="false" customHeight="false" outlineLevel="0" collapsed="false">
      <c r="A12" s="8" t="s">
        <v>47</v>
      </c>
      <c r="B12" s="8" t="s">
        <v>64</v>
      </c>
      <c r="C12" s="8" t="s">
        <v>67</v>
      </c>
      <c r="D12" s="9" t="n">
        <v>500</v>
      </c>
      <c r="E12" s="10" t="n">
        <v>2444</v>
      </c>
      <c r="F12" s="8" t="s">
        <v>50</v>
      </c>
      <c r="G12" s="8" t="s">
        <v>51</v>
      </c>
      <c r="H12" s="8" t="s">
        <v>66</v>
      </c>
      <c r="I12" s="8" t="s">
        <v>53</v>
      </c>
    </row>
    <row r="13" customFormat="false" ht="23.85" hidden="false" customHeight="false" outlineLevel="0" collapsed="false">
      <c r="A13" s="8" t="s">
        <v>47</v>
      </c>
      <c r="B13" s="8" t="s">
        <v>64</v>
      </c>
      <c r="C13" s="8" t="s">
        <v>68</v>
      </c>
      <c r="D13" s="9" t="n">
        <v>40</v>
      </c>
      <c r="E13" s="10" t="n">
        <v>2328</v>
      </c>
      <c r="F13" s="8" t="s">
        <v>50</v>
      </c>
      <c r="G13" s="8" t="s">
        <v>51</v>
      </c>
      <c r="H13" s="8" t="s">
        <v>69</v>
      </c>
      <c r="I13" s="8" t="s">
        <v>53</v>
      </c>
    </row>
    <row r="14" customFormat="false" ht="15" hidden="false" customHeight="false" outlineLevel="0" collapsed="false">
      <c r="A14" s="8" t="s">
        <v>47</v>
      </c>
      <c r="B14" s="8" t="s">
        <v>64</v>
      </c>
      <c r="C14" s="8" t="s">
        <v>70</v>
      </c>
      <c r="E14" s="10" t="n">
        <v>2000</v>
      </c>
      <c r="F14" s="8" t="s">
        <v>50</v>
      </c>
      <c r="G14" s="8" t="s">
        <v>51</v>
      </c>
      <c r="H14" s="8" t="s">
        <v>66</v>
      </c>
      <c r="I14" s="8" t="s">
        <v>53</v>
      </c>
    </row>
    <row r="15" customFormat="false" ht="15" hidden="false" customHeight="false" outlineLevel="0" collapsed="false">
      <c r="A15" s="8" t="s">
        <v>47</v>
      </c>
      <c r="B15" s="8" t="s">
        <v>64</v>
      </c>
      <c r="C15" s="8" t="s">
        <v>71</v>
      </c>
      <c r="E15" s="10" t="n">
        <v>0</v>
      </c>
      <c r="F15" s="8" t="s">
        <v>55</v>
      </c>
      <c r="G15" s="8" t="s">
        <v>72</v>
      </c>
      <c r="H15" s="8" t="s">
        <v>66</v>
      </c>
      <c r="I15" s="8" t="s">
        <v>53</v>
      </c>
    </row>
    <row r="16" customFormat="false" ht="23.85" hidden="false" customHeight="false" outlineLevel="0" collapsed="false">
      <c r="A16" s="8" t="s">
        <v>47</v>
      </c>
      <c r="B16" s="8" t="s">
        <v>73</v>
      </c>
      <c r="C16" s="8" t="s">
        <v>74</v>
      </c>
      <c r="D16" s="9" t="n">
        <v>9</v>
      </c>
      <c r="E16" s="10" t="n">
        <v>3490</v>
      </c>
      <c r="F16" s="8" t="s">
        <v>50</v>
      </c>
      <c r="G16" s="8" t="s">
        <v>51</v>
      </c>
      <c r="H16" s="8" t="s">
        <v>75</v>
      </c>
      <c r="I16" s="8" t="s">
        <v>53</v>
      </c>
    </row>
    <row r="17" customFormat="false" ht="15" hidden="false" customHeight="false" outlineLevel="0" collapsed="false">
      <c r="A17" s="8" t="s">
        <v>47</v>
      </c>
      <c r="B17" s="8" t="s">
        <v>73</v>
      </c>
      <c r="C17" s="8" t="s">
        <v>76</v>
      </c>
      <c r="D17" s="9" t="n">
        <v>4</v>
      </c>
      <c r="E17" s="10" t="n">
        <v>1596</v>
      </c>
      <c r="F17" s="8" t="s">
        <v>50</v>
      </c>
      <c r="G17" s="8" t="s">
        <v>51</v>
      </c>
      <c r="H17" s="8" t="s">
        <v>77</v>
      </c>
      <c r="I17" s="8" t="s">
        <v>53</v>
      </c>
    </row>
    <row r="18" customFormat="false" ht="15" hidden="false" customHeight="false" outlineLevel="0" collapsed="false">
      <c r="A18" s="8" t="s">
        <v>47</v>
      </c>
      <c r="B18" s="8" t="s">
        <v>73</v>
      </c>
      <c r="C18" s="8" t="s">
        <v>78</v>
      </c>
      <c r="D18" s="9" t="n">
        <v>1</v>
      </c>
      <c r="E18" s="10" t="n">
        <v>3000</v>
      </c>
      <c r="F18" s="8" t="s">
        <v>50</v>
      </c>
      <c r="G18" s="8" t="s">
        <v>51</v>
      </c>
      <c r="H18" s="8" t="s">
        <v>77</v>
      </c>
      <c r="I18" s="8" t="s">
        <v>53</v>
      </c>
    </row>
    <row r="19" customFormat="false" ht="15" hidden="false" customHeight="false" outlineLevel="0" collapsed="false">
      <c r="A19" s="8" t="s">
        <v>47</v>
      </c>
      <c r="B19" s="8" t="s">
        <v>79</v>
      </c>
      <c r="C19" s="8" t="s">
        <v>80</v>
      </c>
      <c r="D19" s="9" t="n">
        <v>29</v>
      </c>
      <c r="E19" s="10" t="n">
        <v>0</v>
      </c>
      <c r="F19" s="8" t="s">
        <v>55</v>
      </c>
      <c r="G19" s="8" t="s">
        <v>81</v>
      </c>
      <c r="H19" s="8" t="s">
        <v>82</v>
      </c>
      <c r="I19" s="8" t="s">
        <v>83</v>
      </c>
    </row>
    <row r="20" customFormat="false" ht="23.85" hidden="false" customHeight="false" outlineLevel="0" collapsed="false">
      <c r="A20" s="8" t="s">
        <v>47</v>
      </c>
      <c r="B20" s="8" t="s">
        <v>84</v>
      </c>
      <c r="C20" s="8" t="s">
        <v>85</v>
      </c>
      <c r="D20" s="9" t="n">
        <v>7</v>
      </c>
      <c r="E20" s="10" t="n">
        <v>2100</v>
      </c>
      <c r="F20" s="8" t="s">
        <v>50</v>
      </c>
      <c r="G20" s="8" t="s">
        <v>51</v>
      </c>
      <c r="H20" s="8" t="s">
        <v>86</v>
      </c>
      <c r="I20" s="8" t="s">
        <v>87</v>
      </c>
    </row>
    <row r="21" customFormat="false" ht="15" hidden="false" customHeight="false" outlineLevel="0" collapsed="false">
      <c r="A21" s="8" t="s">
        <v>88</v>
      </c>
      <c r="B21" s="8" t="s">
        <v>73</v>
      </c>
      <c r="C21" s="8" t="s">
        <v>89</v>
      </c>
      <c r="D21" s="9" t="n">
        <v>3</v>
      </c>
      <c r="E21" s="10" t="n">
        <v>1139.25</v>
      </c>
      <c r="F21" s="8" t="s">
        <v>50</v>
      </c>
      <c r="G21" s="8" t="s">
        <v>51</v>
      </c>
      <c r="H21" s="8" t="s">
        <v>90</v>
      </c>
      <c r="I21" s="8" t="s">
        <v>53</v>
      </c>
    </row>
    <row r="22" customFormat="false" ht="15" hidden="false" customHeight="false" outlineLevel="0" collapsed="false">
      <c r="A22" s="8" t="s">
        <v>88</v>
      </c>
      <c r="B22" s="8" t="s">
        <v>73</v>
      </c>
      <c r="C22" s="8" t="s">
        <v>91</v>
      </c>
      <c r="D22" s="9" t="n">
        <v>3</v>
      </c>
      <c r="E22" s="10" t="n">
        <v>1139.25</v>
      </c>
      <c r="F22" s="8" t="s">
        <v>50</v>
      </c>
      <c r="G22" s="8" t="s">
        <v>51</v>
      </c>
      <c r="H22" s="8" t="s">
        <v>77</v>
      </c>
      <c r="I22" s="8" t="s">
        <v>53</v>
      </c>
    </row>
    <row r="23" customFormat="false" ht="15" hidden="false" customHeight="false" outlineLevel="0" collapsed="false">
      <c r="A23" s="8" t="s">
        <v>88</v>
      </c>
      <c r="B23" s="8" t="s">
        <v>73</v>
      </c>
      <c r="C23" s="8" t="s">
        <v>92</v>
      </c>
      <c r="D23" s="9" t="n">
        <v>2</v>
      </c>
      <c r="E23" s="10" t="n">
        <v>2866.5</v>
      </c>
      <c r="F23" s="8" t="s">
        <v>50</v>
      </c>
      <c r="G23" s="8" t="s">
        <v>51</v>
      </c>
      <c r="H23" s="8" t="s">
        <v>77</v>
      </c>
      <c r="I23" s="8" t="s">
        <v>53</v>
      </c>
    </row>
    <row r="24" customFormat="false" ht="15" hidden="false" customHeight="false" outlineLevel="0" collapsed="false">
      <c r="A24" s="8" t="s">
        <v>88</v>
      </c>
      <c r="B24" s="8" t="s">
        <v>79</v>
      </c>
      <c r="C24" s="8" t="s">
        <v>93</v>
      </c>
      <c r="D24" s="9" t="n">
        <v>20</v>
      </c>
      <c r="E24" s="10" t="n">
        <v>0</v>
      </c>
      <c r="F24" s="8" t="s">
        <v>55</v>
      </c>
      <c r="G24" s="8" t="s">
        <v>81</v>
      </c>
      <c r="H24" s="8" t="s">
        <v>90</v>
      </c>
      <c r="I24" s="8" t="s">
        <v>83</v>
      </c>
    </row>
    <row r="25" customFormat="false" ht="15" hidden="false" customHeight="false" outlineLevel="0" collapsed="false">
      <c r="A25" s="8" t="s">
        <v>88</v>
      </c>
      <c r="B25" s="8" t="s">
        <v>48</v>
      </c>
      <c r="C25" s="8" t="s">
        <v>94</v>
      </c>
      <c r="D25" s="9" t="n">
        <v>8</v>
      </c>
      <c r="E25" s="10" t="n">
        <v>1250</v>
      </c>
      <c r="F25" s="8" t="s">
        <v>50</v>
      </c>
      <c r="G25" s="8" t="s">
        <v>51</v>
      </c>
      <c r="H25" s="8" t="s">
        <v>52</v>
      </c>
      <c r="I25" s="8" t="s">
        <v>53</v>
      </c>
    </row>
    <row r="26" customFormat="false" ht="23.85" hidden="false" customHeight="false" outlineLevel="0" collapsed="false">
      <c r="A26" s="8" t="s">
        <v>88</v>
      </c>
      <c r="B26" s="8" t="s">
        <v>48</v>
      </c>
      <c r="C26" s="8" t="s">
        <v>95</v>
      </c>
      <c r="D26" s="9" t="n">
        <v>8</v>
      </c>
      <c r="E26" s="10" t="n">
        <v>1250</v>
      </c>
      <c r="F26" s="8" t="s">
        <v>50</v>
      </c>
      <c r="G26" s="8" t="s">
        <v>51</v>
      </c>
      <c r="H26" s="8" t="s">
        <v>52</v>
      </c>
      <c r="I26" s="8" t="s">
        <v>53</v>
      </c>
    </row>
    <row r="27" customFormat="false" ht="23.85" hidden="false" customHeight="false" outlineLevel="0" collapsed="false">
      <c r="A27" s="8" t="s">
        <v>88</v>
      </c>
      <c r="B27" s="8" t="s">
        <v>64</v>
      </c>
      <c r="C27" s="8" t="s">
        <v>96</v>
      </c>
      <c r="D27" s="9" t="n">
        <v>300</v>
      </c>
      <c r="E27" s="10" t="n">
        <v>1752.5</v>
      </c>
      <c r="F27" s="8" t="s">
        <v>50</v>
      </c>
      <c r="G27" s="8" t="s">
        <v>51</v>
      </c>
      <c r="H27" s="8" t="s">
        <v>66</v>
      </c>
      <c r="I27" s="8" t="s">
        <v>53</v>
      </c>
    </row>
    <row r="28" customFormat="false" ht="15" hidden="false" customHeight="false" outlineLevel="0" collapsed="false">
      <c r="A28" s="8" t="s">
        <v>88</v>
      </c>
      <c r="B28" s="8" t="s">
        <v>84</v>
      </c>
      <c r="C28" s="8" t="s">
        <v>97</v>
      </c>
      <c r="D28" s="9" t="n">
        <v>3</v>
      </c>
      <c r="E28" s="10" t="n">
        <v>900</v>
      </c>
      <c r="F28" s="8" t="s">
        <v>50</v>
      </c>
      <c r="G28" s="8" t="s">
        <v>51</v>
      </c>
      <c r="H28" s="8" t="s">
        <v>86</v>
      </c>
      <c r="I28" s="8" t="s">
        <v>53</v>
      </c>
    </row>
    <row r="30" customFormat="false" ht="15" hidden="false" customHeight="false" outlineLevel="0" collapsed="false">
      <c r="B30" s="12" t="s">
        <v>98</v>
      </c>
      <c r="C30" s="12" t="s">
        <v>99</v>
      </c>
      <c r="E30" s="13" t="n">
        <f aca="false">SUMIFS($E$5:$E$28,$A$5:$A$28,"MAPED",$F$5:$F$28,"SIM")</f>
        <v>33100</v>
      </c>
    </row>
    <row r="31" customFormat="false" ht="15" hidden="false" customHeight="false" outlineLevel="0" collapsed="false">
      <c r="B31" s="12" t="s">
        <v>100</v>
      </c>
      <c r="C31" s="12" t="s">
        <v>99</v>
      </c>
      <c r="E31" s="13" t="n">
        <f aca="false">SUMIFS($E$5:$E$28,$A$5:$A$28,"JANOD",$F$5:$F$28,"SIM")</f>
        <v>10297.5</v>
      </c>
    </row>
    <row r="32" customFormat="false" ht="15" hidden="false" customHeight="false" outlineLevel="0" collapsed="false">
      <c r="B32" s="12" t="s">
        <v>101</v>
      </c>
      <c r="C32" s="12" t="s">
        <v>102</v>
      </c>
      <c r="E32" s="13" t="n">
        <f aca="false">E30+E31</f>
        <v>43397.5</v>
      </c>
    </row>
    <row r="33" customFormat="false" ht="15" hidden="false" customHeight="false" outlineLevel="0" collapsed="false">
      <c r="B33" s="14" t="s">
        <v>103</v>
      </c>
      <c r="C33" s="14" t="s">
        <v>104</v>
      </c>
      <c r="E33" s="15" t="n">
        <f aca="false">E32*12</f>
        <v>520770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21.75" hidden="false" customHeight="true" outlineLevel="0" collapsed="false">
      <c r="A4" s="7" t="s">
        <v>39</v>
      </c>
      <c r="B4" s="7" t="s">
        <v>107</v>
      </c>
      <c r="C4" s="7" t="s">
        <v>108</v>
      </c>
      <c r="D4" s="7" t="s">
        <v>109</v>
      </c>
      <c r="E4" s="7" t="s">
        <v>110</v>
      </c>
    </row>
    <row r="5" customFormat="false" ht="15" hidden="false" customHeight="false" outlineLevel="0" collapsed="false">
      <c r="A5" s="14" t="s">
        <v>73</v>
      </c>
      <c r="B5" s="16" t="n">
        <f aca="false">SUMIFS(ESCOPO!$E$5:$E$28,ESCOPO!$A$5:$A$28,"MAPED",ESCOPO!$B$5:$B$28,A5,ESCOPO!$F$5:$F$28,"SIM")</f>
        <v>8086</v>
      </c>
      <c r="C5" s="17" t="n">
        <f aca="false">IF(B$10=0,0,B5/B$10)</f>
        <v>0.24429003021148</v>
      </c>
      <c r="D5" s="16" t="n">
        <f aca="false">SUMIFS(ESCOPO!$E$5:$E$28,ESCOPO!$A$5:$A$28,"JANOD",ESCOPO!$B$5:$B$28,A5,ESCOPO!$F$5:$F$28,"SIM")</f>
        <v>5145</v>
      </c>
      <c r="E5" s="17" t="n">
        <f aca="false">IF(D$10=0,0,D5/D$10)</f>
        <v>0.499635833940277</v>
      </c>
    </row>
    <row r="6" customFormat="false" ht="15" hidden="false" customHeight="false" outlineLevel="0" collapsed="false">
      <c r="A6" s="14" t="s">
        <v>79</v>
      </c>
      <c r="B6" s="16" t="n">
        <f aca="false">SUMIFS(ESCOPO!$E$5:$E$28,ESCOPO!$A$5:$A$28,"MAPED",ESCOPO!$B$5:$B$28,A6,ESCOPO!$F$5:$F$28,"SIM")</f>
        <v>0</v>
      </c>
      <c r="C6" s="17" t="n">
        <f aca="false">IF(B$10=0,0,B6/B$10)</f>
        <v>0</v>
      </c>
      <c r="D6" s="16" t="n">
        <f aca="false">SUMIFS(ESCOPO!$E$5:$E$28,ESCOPO!$A$5:$A$28,"JANOD",ESCOPO!$B$5:$B$28,A6,ESCOPO!$F$5:$F$28,"SIM")</f>
        <v>0</v>
      </c>
      <c r="E6" s="17" t="n">
        <f aca="false">IF(D$10=0,0,D6/D$10)</f>
        <v>0</v>
      </c>
    </row>
    <row r="7" customFormat="false" ht="15" hidden="false" customHeight="false" outlineLevel="0" collapsed="false">
      <c r="A7" s="14" t="s">
        <v>48</v>
      </c>
      <c r="B7" s="16" t="n">
        <f aca="false">SUMIFS(ESCOPO!$E$5:$E$28,ESCOPO!$A$5:$A$28,"MAPED",ESCOPO!$B$5:$B$28,A7,ESCOPO!$F$5:$F$28,"SIM")</f>
        <v>10094</v>
      </c>
      <c r="C7" s="17" t="n">
        <f aca="false">IF(B$10=0,0,B7/B$10)</f>
        <v>0.304954682779456</v>
      </c>
      <c r="D7" s="16" t="n">
        <f aca="false">SUMIFS(ESCOPO!$E$5:$E$28,ESCOPO!$A$5:$A$28,"JANOD",ESCOPO!$B$5:$B$28,A7,ESCOPO!$F$5:$F$28,"SIM")</f>
        <v>2500</v>
      </c>
      <c r="E7" s="17" t="n">
        <f aca="false">IF(D$10=0,0,D7/D$10)</f>
        <v>0.242777373148823</v>
      </c>
    </row>
    <row r="8" customFormat="false" ht="15" hidden="false" customHeight="false" outlineLevel="0" collapsed="false">
      <c r="A8" s="14" t="s">
        <v>64</v>
      </c>
      <c r="B8" s="16" t="n">
        <f aca="false">SUMIFS(ESCOPO!$E$5:$E$28,ESCOPO!$A$5:$A$28,"MAPED",ESCOPO!$B$5:$B$28,A8,ESCOPO!$F$5:$F$28,"SIM")</f>
        <v>12820</v>
      </c>
      <c r="C8" s="17" t="n">
        <f aca="false">IF(B$10=0,0,B8/B$10)</f>
        <v>0.387311178247734</v>
      </c>
      <c r="D8" s="16" t="n">
        <f aca="false">SUMIFS(ESCOPO!$E$5:$E$28,ESCOPO!$A$5:$A$28,"JANOD",ESCOPO!$B$5:$B$28,A8,ESCOPO!$F$5:$F$28,"SIM")</f>
        <v>1752.5</v>
      </c>
      <c r="E8" s="17" t="n">
        <f aca="false">IF(D$10=0,0,D8/D$10)</f>
        <v>0.170186938577325</v>
      </c>
    </row>
    <row r="9" customFormat="false" ht="15" hidden="false" customHeight="false" outlineLevel="0" collapsed="false">
      <c r="A9" s="14" t="s">
        <v>84</v>
      </c>
      <c r="B9" s="16" t="n">
        <f aca="false">SUMIFS(ESCOPO!$E$5:$E$28,ESCOPO!$A$5:$A$28,"MAPED",ESCOPO!$B$5:$B$28,A9,ESCOPO!$F$5:$F$28,"SIM")</f>
        <v>2100</v>
      </c>
      <c r="C9" s="17" t="n">
        <f aca="false">IF(B$10=0,0,B9/B$10)</f>
        <v>0.0634441087613293</v>
      </c>
      <c r="D9" s="16" t="n">
        <f aca="false">SUMIFS(ESCOPO!$E$5:$E$28,ESCOPO!$A$5:$A$28,"JANOD",ESCOPO!$B$5:$B$28,A9,ESCOPO!$F$5:$F$28,"SIM")</f>
        <v>900</v>
      </c>
      <c r="E9" s="17" t="n">
        <f aca="false">IF(D$10=0,0,D9/D$10)</f>
        <v>0.0873998543335761</v>
      </c>
    </row>
    <row r="10" customFormat="false" ht="15" hidden="false" customHeight="false" outlineLevel="0" collapsed="false">
      <c r="A10" s="12" t="s">
        <v>111</v>
      </c>
      <c r="B10" s="13" t="n">
        <f aca="false">SUM(B5:B9)</f>
        <v>33100</v>
      </c>
      <c r="C10" s="18" t="n">
        <f aca="false">SUM(C5:C9)</f>
        <v>1</v>
      </c>
      <c r="D10" s="13" t="n">
        <f aca="false">SUM(D5:D9)</f>
        <v>10297.5</v>
      </c>
      <c r="E10" s="18" t="n">
        <f aca="false">SUM(E5:E9)</f>
        <v>1</v>
      </c>
    </row>
    <row r="12" customFormat="false" ht="23.85" hidden="false" customHeight="false" outlineLevel="0" collapsed="false">
      <c r="A12" s="14" t="s">
        <v>112</v>
      </c>
    </row>
    <row r="13" customFormat="false" ht="15" hidden="false" customHeight="false" outlineLevel="0" collapsed="false">
      <c r="A13" s="8" t="s">
        <v>113</v>
      </c>
      <c r="B13" s="10" t="n">
        <v>33100</v>
      </c>
      <c r="C13" s="8" t="str">
        <f aca="false">IF(ABS(B13-B10)&lt;0.01,"OK","DIFERENÇA")</f>
        <v>OK</v>
      </c>
    </row>
    <row r="14" customFormat="false" ht="15" hidden="false" customHeight="false" outlineLevel="0" collapsed="false">
      <c r="A14" s="8" t="s">
        <v>114</v>
      </c>
      <c r="D14" s="10" t="n">
        <v>10297.5</v>
      </c>
      <c r="E14" s="8" t="str">
        <f aca="false">IF(ABS(D14-D10)&lt;0.01,"OK","DIFERENÇA")</f>
        <v>OK</v>
      </c>
    </row>
    <row r="16" customFormat="false" ht="15" hidden="false" customHeight="false" outlineLevel="0" collapsed="false">
      <c r="A16" s="14" t="s">
        <v>115</v>
      </c>
      <c r="B16" s="15" t="n">
        <f aca="false">B10+D10</f>
        <v>43397.5</v>
      </c>
    </row>
    <row r="17" customFormat="false" ht="23.85" hidden="false" customHeight="false" outlineLevel="0" collapsed="false">
      <c r="A17" s="14" t="s">
        <v>116</v>
      </c>
      <c r="B17" s="19" t="n">
        <v>0.3</v>
      </c>
    </row>
    <row r="18" customFormat="false" ht="15" hidden="false" customHeight="false" outlineLevel="0" collapsed="false">
      <c r="A18" s="8" t="s">
        <v>117</v>
      </c>
      <c r="B18" s="10" t="n">
        <v>994.53</v>
      </c>
    </row>
    <row r="19" customFormat="false" ht="15" hidden="false" customHeight="false" outlineLevel="0" collapsed="false">
      <c r="A19" s="8" t="s">
        <v>118</v>
      </c>
      <c r="B19" s="10" t="n">
        <v>827.36</v>
      </c>
    </row>
    <row r="20" customFormat="false" ht="23.85" hidden="false" customHeight="false" outlineLevel="0" collapsed="false">
      <c r="A20" s="14" t="s">
        <v>119</v>
      </c>
      <c r="B20" s="15" t="n">
        <f aca="false">B16+B18+B19</f>
        <v>45219.39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14" t="s">
        <v>122</v>
      </c>
    </row>
    <row r="5" customFormat="false" ht="15" hidden="false" customHeight="false" outlineLevel="0" collapsed="false">
      <c r="A5" s="8" t="s">
        <v>123</v>
      </c>
      <c r="B5" s="19" t="n">
        <v>0.2</v>
      </c>
    </row>
    <row r="6" customFormat="false" ht="15" hidden="false" customHeight="false" outlineLevel="0" collapsed="false">
      <c r="A6" s="8" t="s">
        <v>124</v>
      </c>
      <c r="B6" s="19" t="n">
        <v>0.2</v>
      </c>
    </row>
    <row r="7" customFormat="false" ht="15" hidden="false" customHeight="false" outlineLevel="0" collapsed="false">
      <c r="A7" s="8" t="s">
        <v>125</v>
      </c>
      <c r="B7" s="20" t="n">
        <v>18000</v>
      </c>
    </row>
    <row r="9" customFormat="false" ht="21.75" hidden="false" customHeight="true" outlineLevel="0" collapsed="false">
      <c r="A9" s="7" t="s">
        <v>126</v>
      </c>
      <c r="B9" s="7" t="s">
        <v>127</v>
      </c>
      <c r="C9" s="7" t="s">
        <v>128</v>
      </c>
      <c r="D9" s="7" t="s">
        <v>129</v>
      </c>
      <c r="E9" s="7" t="s">
        <v>130</v>
      </c>
    </row>
    <row r="10" customFormat="false" ht="15" hidden="false" customHeight="false" outlineLevel="0" collapsed="false">
      <c r="A10" s="8" t="s">
        <v>131</v>
      </c>
      <c r="B10" s="20" t="n">
        <v>12500</v>
      </c>
      <c r="C10" s="20" t="n">
        <v>16000</v>
      </c>
      <c r="D10" s="21" t="n">
        <f aca="false">B10+C10</f>
        <v>28500</v>
      </c>
      <c r="E10" s="8"/>
    </row>
    <row r="11" customFormat="false" ht="15" hidden="false" customHeight="false" outlineLevel="0" collapsed="false">
      <c r="A11" s="8" t="s">
        <v>132</v>
      </c>
      <c r="B11" s="20" t="n">
        <v>6000</v>
      </c>
      <c r="C11" s="20" t="n">
        <v>13000</v>
      </c>
      <c r="D11" s="21" t="n">
        <f aca="false">B11+C11</f>
        <v>19000</v>
      </c>
      <c r="E11" s="8"/>
    </row>
    <row r="12" customFormat="false" ht="15" hidden="false" customHeight="false" outlineLevel="0" collapsed="false">
      <c r="A12" s="8" t="s">
        <v>133</v>
      </c>
      <c r="B12" s="20" t="n">
        <v>6000</v>
      </c>
      <c r="C12" s="20" t="n">
        <v>7000</v>
      </c>
      <c r="D12" s="21" t="n">
        <f aca="false">B12+C12</f>
        <v>13000</v>
      </c>
      <c r="E12" s="8"/>
    </row>
    <row r="13" customFormat="false" ht="15" hidden="false" customHeight="false" outlineLevel="0" collapsed="false">
      <c r="A13" s="8" t="s">
        <v>134</v>
      </c>
      <c r="B13" s="20" t="n">
        <v>2000</v>
      </c>
      <c r="C13" s="20" t="n">
        <v>7000</v>
      </c>
      <c r="D13" s="21" t="n">
        <f aca="false">B13+C13</f>
        <v>9000</v>
      </c>
      <c r="E13" s="8"/>
    </row>
    <row r="14" customFormat="false" ht="15" hidden="false" customHeight="false" outlineLevel="0" collapsed="false">
      <c r="A14" s="8" t="s">
        <v>135</v>
      </c>
      <c r="B14" s="20" t="n">
        <v>2500</v>
      </c>
      <c r="C14" s="20" t="n">
        <v>3500</v>
      </c>
      <c r="D14" s="21" t="n">
        <f aca="false">B14+C14</f>
        <v>6000</v>
      </c>
      <c r="E14" s="8" t="s">
        <v>136</v>
      </c>
    </row>
    <row r="15" customFormat="false" ht="15" hidden="false" customHeight="false" outlineLevel="0" collapsed="false">
      <c r="A15" s="8" t="s">
        <v>137</v>
      </c>
      <c r="B15" s="20" t="n">
        <v>1000</v>
      </c>
      <c r="C15" s="20" t="n">
        <v>3400</v>
      </c>
      <c r="D15" s="21" t="n">
        <f aca="false">B15+C15</f>
        <v>4400</v>
      </c>
      <c r="E15" s="11" t="s">
        <v>138</v>
      </c>
    </row>
    <row r="16" customFormat="false" ht="15" hidden="false" customHeight="false" outlineLevel="0" collapsed="false">
      <c r="A16" s="12" t="s">
        <v>139</v>
      </c>
      <c r="B16" s="22" t="n">
        <f aca="false">SUM(B10:B15)</f>
        <v>30000</v>
      </c>
      <c r="C16" s="22" t="n">
        <f aca="false">SUM(C10:C15)</f>
        <v>49900</v>
      </c>
      <c r="D16" s="22" t="n">
        <f aca="false">SUM(D10:D15)</f>
        <v>79900</v>
      </c>
      <c r="E16" s="12"/>
    </row>
    <row r="18" customFormat="false" ht="21.75" hidden="false" customHeight="true" outlineLevel="0" collapsed="false">
      <c r="A18" s="7" t="s">
        <v>140</v>
      </c>
      <c r="B18" s="7" t="s">
        <v>127</v>
      </c>
      <c r="C18" s="7" t="s">
        <v>128</v>
      </c>
      <c r="D18" s="7" t="s">
        <v>129</v>
      </c>
      <c r="E18" s="7" t="s">
        <v>130</v>
      </c>
    </row>
    <row r="19" customFormat="false" ht="15" hidden="false" customHeight="false" outlineLevel="0" collapsed="false">
      <c r="A19" s="8" t="s">
        <v>141</v>
      </c>
      <c r="B19" s="20" t="n">
        <v>15000</v>
      </c>
      <c r="C19" s="20" t="n">
        <v>35000</v>
      </c>
      <c r="D19" s="21" t="n">
        <f aca="false">B19+C19</f>
        <v>50000</v>
      </c>
      <c r="E19" s="8" t="s">
        <v>142</v>
      </c>
    </row>
    <row r="20" customFormat="false" ht="15" hidden="false" customHeight="false" outlineLevel="0" collapsed="false">
      <c r="A20" s="8" t="s">
        <v>143</v>
      </c>
      <c r="B20" s="20" t="n">
        <v>6000</v>
      </c>
      <c r="C20" s="20" t="n">
        <v>9000</v>
      </c>
      <c r="D20" s="21" t="n">
        <f aca="false">B20+C20</f>
        <v>15000</v>
      </c>
      <c r="E20" s="8" t="s">
        <v>144</v>
      </c>
    </row>
    <row r="21" customFormat="false" ht="15" hidden="false" customHeight="false" outlineLevel="0" collapsed="false">
      <c r="A21" s="8" t="s">
        <v>145</v>
      </c>
      <c r="B21" s="21" t="n">
        <f aca="false">B16*$B$5</f>
        <v>6000</v>
      </c>
      <c r="C21" s="21" t="n">
        <f aca="false">C16*$B$5</f>
        <v>9980</v>
      </c>
      <c r="D21" s="21" t="n">
        <f aca="false">B21+C21</f>
        <v>15980</v>
      </c>
      <c r="E21" s="8" t="s">
        <v>146</v>
      </c>
    </row>
    <row r="22" customFormat="false" ht="15" hidden="false" customHeight="false" outlineLevel="0" collapsed="false">
      <c r="A22" s="8" t="s">
        <v>147</v>
      </c>
      <c r="B22" s="21" t="n">
        <f aca="false">B19*$B$6</f>
        <v>3000</v>
      </c>
      <c r="C22" s="21" t="n">
        <f aca="false">C19*$B$6</f>
        <v>7000</v>
      </c>
      <c r="D22" s="21" t="n">
        <f aca="false">B22+C22</f>
        <v>10000</v>
      </c>
      <c r="E22" s="8" t="s">
        <v>148</v>
      </c>
    </row>
    <row r="23" customFormat="false" ht="15" hidden="false" customHeight="false" outlineLevel="0" collapsed="false">
      <c r="A23" s="8" t="s">
        <v>149</v>
      </c>
      <c r="D23" s="21" t="n">
        <f aca="false">B7</f>
        <v>18000</v>
      </c>
      <c r="E23" s="8" t="s">
        <v>150</v>
      </c>
    </row>
    <row r="25" customFormat="false" ht="15" hidden="false" customHeight="false" outlineLevel="0" collapsed="false">
      <c r="A25" s="12" t="s">
        <v>151</v>
      </c>
      <c r="B25" s="22" t="n">
        <f aca="false">B16+B19+B20+B21+B22</f>
        <v>60000</v>
      </c>
      <c r="C25" s="22" t="n">
        <f aca="false">C16+C19+C20+C21+C22</f>
        <v>110880</v>
      </c>
      <c r="D25" s="22" t="n">
        <f aca="false">B25+C25+D23</f>
        <v>188880</v>
      </c>
      <c r="E25" s="12" t="s">
        <v>152</v>
      </c>
    </row>
    <row r="26" customFormat="false" ht="15" hidden="false" customHeight="false" outlineLevel="0" collapsed="false">
      <c r="A26" s="12" t="s">
        <v>153</v>
      </c>
      <c r="B26" s="22" t="n">
        <f aca="false">B20+B21+B22</f>
        <v>15000</v>
      </c>
      <c r="C26" s="22" t="n">
        <f aca="false">C20+C21+C22</f>
        <v>25980</v>
      </c>
      <c r="D26" s="22" t="n">
        <f aca="false">B26+C26+D23</f>
        <v>58980</v>
      </c>
      <c r="E26" s="12" t="s">
        <v>154</v>
      </c>
    </row>
    <row r="27" customFormat="false" ht="15" hidden="false" customHeight="false" outlineLevel="0" collapsed="false">
      <c r="A27" s="14" t="s">
        <v>155</v>
      </c>
      <c r="D27" s="14" t="str">
        <f aca="false">IF(AND(D25=188880,D26=58980),"OK","DIFERENÇA")</f>
        <v>OK</v>
      </c>
      <c r="E27" s="14"/>
    </row>
    <row r="29" customFormat="false" ht="21.75" hidden="false" customHeight="true" outlineLevel="0" collapsed="false">
      <c r="A29" s="7" t="s">
        <v>156</v>
      </c>
      <c r="B29" s="7" t="s">
        <v>157</v>
      </c>
      <c r="C29" s="7" t="s">
        <v>158</v>
      </c>
      <c r="D29" s="7" t="s">
        <v>159</v>
      </c>
      <c r="E29" s="7" t="s">
        <v>160</v>
      </c>
    </row>
    <row r="30" customFormat="false" ht="23.85" hidden="false" customHeight="false" outlineLevel="0" collapsed="false">
      <c r="A30" s="8" t="s">
        <v>161</v>
      </c>
      <c r="B30" s="23" t="s">
        <v>162</v>
      </c>
      <c r="C30" s="23" t="s">
        <v>163</v>
      </c>
      <c r="D30" s="19" t="n">
        <v>0.15</v>
      </c>
      <c r="E30" s="8" t="s">
        <v>164</v>
      </c>
    </row>
    <row r="31" customFormat="false" ht="15" hidden="false" customHeight="false" outlineLevel="0" collapsed="false">
      <c r="A31" s="8" t="s">
        <v>165</v>
      </c>
      <c r="B31" s="23" t="s">
        <v>166</v>
      </c>
      <c r="C31" s="23" t="s">
        <v>167</v>
      </c>
      <c r="D31" s="19" t="n">
        <v>0.25</v>
      </c>
      <c r="E31" s="8" t="s">
        <v>168</v>
      </c>
    </row>
    <row r="32" customFormat="false" ht="15" hidden="false" customHeight="false" outlineLevel="0" collapsed="false">
      <c r="A32" s="8" t="s">
        <v>169</v>
      </c>
      <c r="B32" s="23" t="s">
        <v>170</v>
      </c>
      <c r="C32" s="23" t="s">
        <v>171</v>
      </c>
      <c r="D32" s="19" t="n">
        <v>0.4</v>
      </c>
      <c r="E32" s="8" t="s">
        <v>172</v>
      </c>
    </row>
    <row r="33" customFormat="false" ht="15" hidden="false" customHeight="false" outlineLevel="0" collapsed="false">
      <c r="A33" s="8" t="s">
        <v>173</v>
      </c>
      <c r="B33" s="23" t="s">
        <v>174</v>
      </c>
      <c r="C33" s="23" t="s">
        <v>175</v>
      </c>
      <c r="D33" s="19" t="n">
        <v>0.2</v>
      </c>
      <c r="E33" s="8" t="s">
        <v>176</v>
      </c>
    </row>
    <row r="34" customFormat="false" ht="15" hidden="false" customHeight="false" outlineLevel="0" collapsed="false">
      <c r="A34" s="12" t="s">
        <v>129</v>
      </c>
      <c r="D34" s="18" t="n">
        <f aca="false">SUM(D30:D33)</f>
        <v>1</v>
      </c>
      <c r="E34" s="12"/>
    </row>
    <row r="36" customFormat="false" ht="15" hidden="false" customHeight="false" outlineLevel="0" collapsed="false">
      <c r="A36" s="24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4" customFormat="false" ht="21.75" hidden="false" customHeight="true" outlineLevel="0" collapsed="false">
      <c r="A4" s="7" t="s">
        <v>180</v>
      </c>
      <c r="B4" s="7" t="s">
        <v>181</v>
      </c>
      <c r="C4" s="7" t="s">
        <v>130</v>
      </c>
    </row>
    <row r="5" customFormat="false" ht="23.85" hidden="false" customHeight="false" outlineLevel="0" collapsed="false">
      <c r="A5" s="8" t="s">
        <v>182</v>
      </c>
      <c r="B5" s="20" t="n">
        <v>1500</v>
      </c>
      <c r="C5" s="8" t="s">
        <v>183</v>
      </c>
    </row>
    <row r="6" customFormat="false" ht="15" hidden="false" customHeight="false" outlineLevel="0" collapsed="false">
      <c r="A6" s="8" t="s">
        <v>184</v>
      </c>
      <c r="B6" s="20" t="n">
        <v>2150</v>
      </c>
      <c r="C6" s="8" t="s">
        <v>185</v>
      </c>
    </row>
    <row r="7" customFormat="false" ht="15" hidden="false" customHeight="false" outlineLevel="0" collapsed="false">
      <c r="A7" s="8" t="s">
        <v>186</v>
      </c>
      <c r="B7" s="20" t="n">
        <v>800</v>
      </c>
      <c r="C7" s="8"/>
    </row>
    <row r="8" customFormat="false" ht="15" hidden="false" customHeight="false" outlineLevel="0" collapsed="false">
      <c r="A8" s="8" t="s">
        <v>187</v>
      </c>
      <c r="B8" s="20" t="n">
        <v>3600</v>
      </c>
      <c r="C8" s="8" t="s">
        <v>188</v>
      </c>
    </row>
    <row r="9" customFormat="false" ht="15" hidden="false" customHeight="false" outlineLevel="0" collapsed="false">
      <c r="A9" s="8" t="s">
        <v>189</v>
      </c>
      <c r="B9" s="20" t="n">
        <v>3000</v>
      </c>
      <c r="C9" s="8" t="s">
        <v>190</v>
      </c>
    </row>
    <row r="10" customFormat="false" ht="15" hidden="false" customHeight="false" outlineLevel="0" collapsed="false">
      <c r="A10" s="8" t="s">
        <v>191</v>
      </c>
      <c r="B10" s="20" t="n">
        <v>1000</v>
      </c>
      <c r="C10" s="8"/>
    </row>
    <row r="11" customFormat="false" ht="15" hidden="false" customHeight="false" outlineLevel="0" collapsed="false">
      <c r="A11" s="8" t="s">
        <v>192</v>
      </c>
      <c r="B11" s="20" t="n">
        <v>1000</v>
      </c>
      <c r="C11" s="8"/>
    </row>
    <row r="12" customFormat="false" ht="15" hidden="false" customHeight="false" outlineLevel="0" collapsed="false">
      <c r="A12" s="8" t="s">
        <v>193</v>
      </c>
      <c r="B12" s="20" t="n">
        <v>1000</v>
      </c>
      <c r="C12" s="8" t="s">
        <v>194</v>
      </c>
    </row>
    <row r="13" customFormat="false" ht="15" hidden="false" customHeight="false" outlineLevel="0" collapsed="false">
      <c r="A13" s="12" t="s">
        <v>195</v>
      </c>
      <c r="B13" s="22" t="n">
        <f aca="false">SUM(B5:B12)</f>
        <v>14050</v>
      </c>
      <c r="C13" s="12"/>
    </row>
    <row r="14" customFormat="false" ht="15" hidden="false" customHeight="false" outlineLevel="0" collapsed="false">
      <c r="A14" s="8" t="s">
        <v>196</v>
      </c>
      <c r="B14" s="25" t="n">
        <f aca="false">'VA 2027'!B7</f>
        <v>18000</v>
      </c>
      <c r="C14" s="8" t="s">
        <v>197</v>
      </c>
    </row>
    <row r="15" customFormat="false" ht="15" hidden="false" customHeight="false" outlineLevel="0" collapsed="false">
      <c r="A15" s="14" t="s">
        <v>198</v>
      </c>
      <c r="B15" s="26" t="n">
        <f aca="false">B14-B13</f>
        <v>3950</v>
      </c>
      <c r="C15" s="14"/>
    </row>
    <row r="16" customFormat="false" ht="15" hidden="false" customHeight="false" outlineLevel="0" collapsed="false">
      <c r="A16" s="14" t="s">
        <v>199</v>
      </c>
      <c r="B16" s="27" t="n">
        <f aca="false">IF(B14=0,0,B15/B14)</f>
        <v>0.219444444444444</v>
      </c>
      <c r="C16" s="14"/>
    </row>
    <row r="18" customFormat="false" ht="35.05" hidden="false" customHeight="false" outlineLevel="0" collapsed="false">
      <c r="A18" s="8" t="s">
        <v>200</v>
      </c>
      <c r="B18" s="23" t="s">
        <v>201</v>
      </c>
      <c r="C18" s="11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21.75" hidden="false" customHeight="true" outlineLevel="0" collapsed="false">
      <c r="A4" s="7" t="s">
        <v>38</v>
      </c>
      <c r="B4" s="7" t="s">
        <v>205</v>
      </c>
      <c r="C4" s="7" t="s">
        <v>206</v>
      </c>
      <c r="D4" s="7" t="s">
        <v>207</v>
      </c>
      <c r="E4" s="7" t="s">
        <v>208</v>
      </c>
      <c r="F4" s="7" t="s">
        <v>209</v>
      </c>
      <c r="G4" s="7" t="s">
        <v>210</v>
      </c>
      <c r="H4" s="7" t="s">
        <v>211</v>
      </c>
      <c r="I4" s="7" t="s">
        <v>130</v>
      </c>
    </row>
    <row r="5" customFormat="false" ht="15" hidden="false" customHeight="false" outlineLevel="0" collapsed="false">
      <c r="A5" s="8" t="s">
        <v>47</v>
      </c>
      <c r="B5" s="8" t="s">
        <v>131</v>
      </c>
      <c r="C5" s="8" t="s">
        <v>212</v>
      </c>
      <c r="D5" s="9" t="n">
        <v>88000</v>
      </c>
      <c r="E5" s="10" t="n">
        <v>1078.4</v>
      </c>
      <c r="G5" s="28" t="n">
        <f aca="false">IF(OR(D5="",D5=0),"",E5/D5)</f>
        <v>0.0122545454545455</v>
      </c>
      <c r="H5" s="29" t="str">
        <f aca="false">IF(OR(F5="",E5=0),"",F5/E5)</f>
        <v/>
      </c>
      <c r="I5" s="8"/>
    </row>
    <row r="6" customFormat="false" ht="15" hidden="false" customHeight="false" outlineLevel="0" collapsed="false">
      <c r="A6" s="8" t="s">
        <v>47</v>
      </c>
      <c r="B6" s="8" t="s">
        <v>132</v>
      </c>
      <c r="C6" s="8" t="s">
        <v>213</v>
      </c>
      <c r="D6" s="9" t="n">
        <v>1065</v>
      </c>
      <c r="E6" s="10" t="n">
        <v>255.73</v>
      </c>
      <c r="G6" s="28" t="n">
        <f aca="false">IF(OR(D6="",D6=0),"",E6/D6)</f>
        <v>0.2401220657277</v>
      </c>
      <c r="H6" s="29" t="str">
        <f aca="false">IF(OR(F6="",E6=0),"",F6/E6)</f>
        <v/>
      </c>
      <c r="I6" s="8" t="s">
        <v>214</v>
      </c>
    </row>
    <row r="7" customFormat="false" ht="15" hidden="false" customHeight="false" outlineLevel="0" collapsed="false">
      <c r="A7" s="8" t="s">
        <v>47</v>
      </c>
      <c r="B7" s="8" t="s">
        <v>133</v>
      </c>
      <c r="C7" s="8" t="s">
        <v>215</v>
      </c>
      <c r="D7" s="9" t="n">
        <v>61784</v>
      </c>
      <c r="E7" s="10" t="n">
        <v>170.32</v>
      </c>
      <c r="G7" s="28" t="n">
        <f aca="false">IF(OR(D7="",D7=0),"",E7/D7)</f>
        <v>0.00275670076395183</v>
      </c>
      <c r="H7" s="29" t="str">
        <f aca="false">IF(OR(F7="",E7=0),"",F7/E7)</f>
        <v/>
      </c>
      <c r="I7" s="8"/>
    </row>
    <row r="8" customFormat="false" ht="15" hidden="false" customHeight="false" outlineLevel="0" collapsed="false">
      <c r="A8" s="8" t="s">
        <v>47</v>
      </c>
      <c r="B8" s="8" t="s">
        <v>134</v>
      </c>
      <c r="C8" s="8" t="s">
        <v>216</v>
      </c>
      <c r="E8" s="10" t="n">
        <v>187.54</v>
      </c>
      <c r="F8" s="10" t="n">
        <v>1251.11</v>
      </c>
      <c r="G8" s="28" t="str">
        <f aca="false">IF(OR(D8="",D8=0),"",E8/D8)</f>
        <v/>
      </c>
      <c r="H8" s="29" t="n">
        <f aca="false">IF(OR(F8="",E8=0),"",F8/E8)</f>
        <v>6.67116348512317</v>
      </c>
      <c r="I8" s="8"/>
    </row>
    <row r="9" customFormat="false" ht="15" hidden="false" customHeight="false" outlineLevel="0" collapsed="false">
      <c r="A9" s="8" t="s">
        <v>88</v>
      </c>
      <c r="B9" s="8" t="s">
        <v>131</v>
      </c>
      <c r="C9" s="8" t="s">
        <v>217</v>
      </c>
      <c r="D9" s="9" t="n">
        <v>56000</v>
      </c>
      <c r="E9" s="10" t="n">
        <v>573.85</v>
      </c>
      <c r="G9" s="28" t="n">
        <f aca="false">IF(OR(D9="",D9=0),"",E9/D9)</f>
        <v>0.0102473214285714</v>
      </c>
      <c r="H9" s="29" t="str">
        <f aca="false">IF(OR(F9="",E9=0),"",F9/E9)</f>
        <v/>
      </c>
      <c r="I9" s="8" t="s">
        <v>218</v>
      </c>
    </row>
    <row r="10" customFormat="false" ht="15" hidden="false" customHeight="false" outlineLevel="0" collapsed="false">
      <c r="A10" s="8" t="s">
        <v>88</v>
      </c>
      <c r="B10" s="8" t="s">
        <v>132</v>
      </c>
      <c r="C10" s="8" t="s">
        <v>213</v>
      </c>
      <c r="D10" s="9" t="n">
        <v>3118</v>
      </c>
      <c r="E10" s="10" t="n">
        <v>193.06</v>
      </c>
      <c r="G10" s="28" t="n">
        <f aca="false">IF(OR(D10="",D10=0),"",E10/D10)</f>
        <v>0.0619178960872354</v>
      </c>
      <c r="H10" s="29" t="str">
        <f aca="false">IF(OR(F10="",E10=0),"",F10/E10)</f>
        <v/>
      </c>
      <c r="I10" s="8" t="s">
        <v>219</v>
      </c>
    </row>
    <row r="11" customFormat="false" ht="15" hidden="false" customHeight="false" outlineLevel="0" collapsed="false">
      <c r="A11" s="8" t="s">
        <v>88</v>
      </c>
      <c r="B11" s="8" t="s">
        <v>133</v>
      </c>
      <c r="C11" s="8" t="s">
        <v>215</v>
      </c>
      <c r="D11" s="9" t="n">
        <v>839000</v>
      </c>
      <c r="E11" s="10" t="n">
        <v>210.74</v>
      </c>
      <c r="G11" s="28" t="n">
        <f aca="false">IF(OR(D11="",D11=0),"",E11/D11)</f>
        <v>0.000251179976162098</v>
      </c>
      <c r="H11" s="29" t="str">
        <f aca="false">IF(OR(F11="",E11=0),"",F11/E11)</f>
        <v/>
      </c>
      <c r="I11" s="8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21.75" hidden="false" customHeight="true" outlineLevel="0" collapsed="false">
      <c r="A4" s="7" t="s">
        <v>38</v>
      </c>
      <c r="B4" s="7" t="s">
        <v>223</v>
      </c>
      <c r="C4" s="7" t="s">
        <v>224</v>
      </c>
      <c r="D4" s="7" t="s">
        <v>225</v>
      </c>
      <c r="E4" s="7" t="s">
        <v>130</v>
      </c>
    </row>
    <row r="5" customFormat="false" ht="23.85" hidden="false" customHeight="false" outlineLevel="0" collapsed="false">
      <c r="A5" s="8" t="s">
        <v>47</v>
      </c>
      <c r="B5" s="8" t="s">
        <v>226</v>
      </c>
      <c r="C5" s="23" t="s">
        <v>227</v>
      </c>
      <c r="D5" s="8" t="s">
        <v>228</v>
      </c>
      <c r="E5" s="8"/>
    </row>
    <row r="6" customFormat="false" ht="23.85" hidden="false" customHeight="false" outlineLevel="0" collapsed="false">
      <c r="A6" s="8" t="s">
        <v>47</v>
      </c>
      <c r="B6" s="8" t="s">
        <v>226</v>
      </c>
      <c r="C6" s="23" t="s">
        <v>229</v>
      </c>
      <c r="D6" s="8" t="s">
        <v>228</v>
      </c>
      <c r="E6" s="8"/>
    </row>
    <row r="7" customFormat="false" ht="23.85" hidden="false" customHeight="false" outlineLevel="0" collapsed="false">
      <c r="A7" s="8" t="s">
        <v>47</v>
      </c>
      <c r="B7" s="8" t="s">
        <v>226</v>
      </c>
      <c r="C7" s="23" t="s">
        <v>230</v>
      </c>
      <c r="D7" s="8" t="s">
        <v>228</v>
      </c>
      <c r="E7" s="8"/>
    </row>
    <row r="8" customFormat="false" ht="23.85" hidden="false" customHeight="false" outlineLevel="0" collapsed="false">
      <c r="A8" s="8" t="s">
        <v>47</v>
      </c>
      <c r="B8" s="8" t="s">
        <v>226</v>
      </c>
      <c r="C8" s="23" t="s">
        <v>231</v>
      </c>
      <c r="D8" s="8" t="s">
        <v>228</v>
      </c>
      <c r="E8" s="8"/>
    </row>
    <row r="9" customFormat="false" ht="23.85" hidden="false" customHeight="false" outlineLevel="0" collapsed="false">
      <c r="A9" s="8" t="s">
        <v>47</v>
      </c>
      <c r="B9" s="8" t="s">
        <v>226</v>
      </c>
      <c r="C9" s="23" t="s">
        <v>232</v>
      </c>
      <c r="D9" s="8" t="s">
        <v>228</v>
      </c>
      <c r="E9" s="8"/>
    </row>
    <row r="10" customFormat="false" ht="23.85" hidden="false" customHeight="false" outlineLevel="0" collapsed="false">
      <c r="A10" s="8" t="s">
        <v>47</v>
      </c>
      <c r="B10" s="8" t="s">
        <v>226</v>
      </c>
      <c r="C10" s="23" t="s">
        <v>233</v>
      </c>
      <c r="D10" s="8" t="s">
        <v>228</v>
      </c>
      <c r="E10" s="8"/>
    </row>
    <row r="11" customFormat="false" ht="23.85" hidden="false" customHeight="false" outlineLevel="0" collapsed="false">
      <c r="A11" s="8" t="s">
        <v>47</v>
      </c>
      <c r="B11" s="8" t="s">
        <v>226</v>
      </c>
      <c r="C11" s="23" t="s">
        <v>234</v>
      </c>
      <c r="D11" s="8" t="s">
        <v>228</v>
      </c>
      <c r="E11" s="8"/>
    </row>
    <row r="12" customFormat="false" ht="23.85" hidden="false" customHeight="false" outlineLevel="0" collapsed="false">
      <c r="A12" s="8" t="s">
        <v>47</v>
      </c>
      <c r="B12" s="8" t="s">
        <v>235</v>
      </c>
      <c r="C12" s="23" t="s">
        <v>236</v>
      </c>
      <c r="D12" s="8" t="s">
        <v>228</v>
      </c>
      <c r="E12" s="8"/>
    </row>
    <row r="13" customFormat="false" ht="23.85" hidden="false" customHeight="false" outlineLevel="0" collapsed="false">
      <c r="A13" s="8" t="s">
        <v>47</v>
      </c>
      <c r="B13" s="8" t="s">
        <v>235</v>
      </c>
      <c r="C13" s="23" t="s">
        <v>237</v>
      </c>
      <c r="D13" s="8" t="s">
        <v>228</v>
      </c>
      <c r="E13" s="8"/>
    </row>
    <row r="14" customFormat="false" ht="23.85" hidden="false" customHeight="false" outlineLevel="0" collapsed="false">
      <c r="A14" s="8" t="s">
        <v>47</v>
      </c>
      <c r="B14" s="8" t="s">
        <v>235</v>
      </c>
      <c r="C14" s="23" t="s">
        <v>238</v>
      </c>
      <c r="D14" s="8" t="s">
        <v>228</v>
      </c>
      <c r="E14" s="8"/>
    </row>
    <row r="15" customFormat="false" ht="23.85" hidden="false" customHeight="false" outlineLevel="0" collapsed="false">
      <c r="A15" s="8" t="s">
        <v>47</v>
      </c>
      <c r="B15" s="8" t="s">
        <v>235</v>
      </c>
      <c r="C15" s="23" t="s">
        <v>239</v>
      </c>
      <c r="D15" s="8" t="s">
        <v>228</v>
      </c>
      <c r="E15" s="8"/>
    </row>
    <row r="16" customFormat="false" ht="23.85" hidden="false" customHeight="false" outlineLevel="0" collapsed="false">
      <c r="A16" s="8" t="s">
        <v>47</v>
      </c>
      <c r="B16" s="8" t="s">
        <v>235</v>
      </c>
      <c r="C16" s="23" t="s">
        <v>240</v>
      </c>
      <c r="D16" s="8" t="s">
        <v>228</v>
      </c>
      <c r="E16" s="8"/>
    </row>
    <row r="17" customFormat="false" ht="23.85" hidden="false" customHeight="false" outlineLevel="0" collapsed="false">
      <c r="A17" s="8" t="s">
        <v>47</v>
      </c>
      <c r="B17" s="8" t="s">
        <v>235</v>
      </c>
      <c r="C17" s="23" t="s">
        <v>241</v>
      </c>
      <c r="D17" s="8" t="s">
        <v>228</v>
      </c>
      <c r="E17" s="8"/>
    </row>
    <row r="18" customFormat="false" ht="23.85" hidden="false" customHeight="false" outlineLevel="0" collapsed="false">
      <c r="A18" s="8" t="s">
        <v>47</v>
      </c>
      <c r="B18" s="8" t="s">
        <v>235</v>
      </c>
      <c r="C18" s="23" t="s">
        <v>242</v>
      </c>
      <c r="D18" s="8" t="s">
        <v>228</v>
      </c>
      <c r="E18" s="8"/>
    </row>
    <row r="19" customFormat="false" ht="15" hidden="false" customHeight="false" outlineLevel="0" collapsed="false">
      <c r="A19" s="8" t="s">
        <v>88</v>
      </c>
      <c r="B19" s="8" t="s">
        <v>243</v>
      </c>
      <c r="C19" s="23" t="s">
        <v>244</v>
      </c>
      <c r="D19" s="8" t="s">
        <v>245</v>
      </c>
      <c r="E19" s="8"/>
    </row>
    <row r="20" customFormat="false" ht="15" hidden="false" customHeight="false" outlineLevel="0" collapsed="false">
      <c r="A20" s="8" t="s">
        <v>88</v>
      </c>
      <c r="B20" s="8" t="s">
        <v>243</v>
      </c>
      <c r="C20" s="23" t="s">
        <v>246</v>
      </c>
      <c r="D20" s="8" t="s">
        <v>245</v>
      </c>
      <c r="E20" s="8"/>
    </row>
    <row r="21" customFormat="false" ht="15" hidden="false" customHeight="false" outlineLevel="0" collapsed="false">
      <c r="A21" s="8" t="s">
        <v>88</v>
      </c>
      <c r="B21" s="8" t="s">
        <v>243</v>
      </c>
      <c r="C21" s="23" t="s">
        <v>247</v>
      </c>
      <c r="D21" s="8" t="s">
        <v>245</v>
      </c>
      <c r="E21" s="8"/>
    </row>
    <row r="22" customFormat="false" ht="15" hidden="false" customHeight="false" outlineLevel="0" collapsed="false">
      <c r="A22" s="8" t="s">
        <v>88</v>
      </c>
      <c r="B22" s="8" t="s">
        <v>226</v>
      </c>
      <c r="C22" s="23" t="s">
        <v>248</v>
      </c>
      <c r="D22" s="8" t="s">
        <v>249</v>
      </c>
      <c r="E22" s="8"/>
    </row>
    <row r="23" customFormat="false" ht="15" hidden="false" customHeight="false" outlineLevel="0" collapsed="false">
      <c r="A23" s="8" t="s">
        <v>88</v>
      </c>
      <c r="B23" s="8" t="s">
        <v>226</v>
      </c>
      <c r="C23" s="23" t="s">
        <v>250</v>
      </c>
      <c r="D23" s="8" t="s">
        <v>249</v>
      </c>
      <c r="E23" s="8"/>
    </row>
    <row r="24" customFormat="false" ht="15" hidden="false" customHeight="false" outlineLevel="0" collapsed="false">
      <c r="A24" s="8" t="s">
        <v>88</v>
      </c>
      <c r="B24" s="8" t="s">
        <v>226</v>
      </c>
      <c r="C24" s="23" t="s">
        <v>251</v>
      </c>
      <c r="D24" s="8" t="s">
        <v>249</v>
      </c>
      <c r="E24" s="8"/>
    </row>
    <row r="25" customFormat="false" ht="15" hidden="false" customHeight="false" outlineLevel="0" collapsed="false">
      <c r="A25" s="8" t="s">
        <v>88</v>
      </c>
      <c r="B25" s="8" t="s">
        <v>235</v>
      </c>
      <c r="C25" s="23" t="s">
        <v>252</v>
      </c>
      <c r="D25" s="8" t="s">
        <v>249</v>
      </c>
      <c r="E25" s="8"/>
    </row>
    <row r="26" customFormat="false" ht="15" hidden="false" customHeight="false" outlineLevel="0" collapsed="false">
      <c r="A26" s="8" t="s">
        <v>88</v>
      </c>
      <c r="B26" s="8" t="s">
        <v>235</v>
      </c>
      <c r="C26" s="23" t="s">
        <v>253</v>
      </c>
      <c r="D26" s="8" t="s">
        <v>249</v>
      </c>
      <c r="E26" s="8"/>
    </row>
    <row r="27" customFormat="false" ht="15" hidden="false" customHeight="false" outlineLevel="0" collapsed="false">
      <c r="A27" s="8" t="s">
        <v>88</v>
      </c>
      <c r="B27" s="8" t="s">
        <v>235</v>
      </c>
      <c r="C27" s="23" t="s">
        <v>254</v>
      </c>
      <c r="D27" s="8" t="s">
        <v>249</v>
      </c>
      <c r="E27" s="8"/>
    </row>
    <row r="28" customFormat="false" ht="15" hidden="false" customHeight="false" outlineLevel="0" collapsed="false">
      <c r="A28" s="8" t="s">
        <v>88</v>
      </c>
      <c r="B28" s="8" t="s">
        <v>255</v>
      </c>
      <c r="C28" s="23" t="s">
        <v>256</v>
      </c>
      <c r="D28" s="8" t="s">
        <v>249</v>
      </c>
      <c r="E28" s="8"/>
    </row>
    <row r="29" customFormat="false" ht="15" hidden="false" customHeight="false" outlineLevel="0" collapsed="false">
      <c r="A29" s="8" t="s">
        <v>88</v>
      </c>
      <c r="B29" s="8" t="s">
        <v>255</v>
      </c>
      <c r="C29" s="23" t="s">
        <v>257</v>
      </c>
      <c r="D29" s="8" t="s">
        <v>249</v>
      </c>
      <c r="E29" s="8"/>
    </row>
    <row r="30" customFormat="false" ht="15" hidden="false" customHeight="false" outlineLevel="0" collapsed="false">
      <c r="A30" s="8" t="s">
        <v>88</v>
      </c>
      <c r="B30" s="8" t="s">
        <v>255</v>
      </c>
      <c r="C30" s="23" t="s">
        <v>258</v>
      </c>
      <c r="D30" s="8" t="s">
        <v>249</v>
      </c>
      <c r="E30" s="8"/>
    </row>
    <row r="32" customFormat="false" ht="15" hidden="false" customHeight="false" outlineLevel="0" collapsed="false">
      <c r="A32" s="14" t="s">
        <v>259</v>
      </c>
    </row>
    <row r="33" customFormat="false" ht="15" hidden="false" customHeight="false" outlineLevel="0" collapsed="false">
      <c r="A33" s="8" t="s">
        <v>47</v>
      </c>
      <c r="B33" s="8" t="s">
        <v>226</v>
      </c>
      <c r="C33" s="8" t="n">
        <f aca="false">COUNTIFS($A$5:$A$30,A33,$B$5:$B$30,B33)</f>
        <v>7</v>
      </c>
    </row>
    <row r="34" customFormat="false" ht="15" hidden="false" customHeight="false" outlineLevel="0" collapsed="false">
      <c r="A34" s="8" t="s">
        <v>47</v>
      </c>
      <c r="B34" s="8" t="s">
        <v>235</v>
      </c>
      <c r="C34" s="8" t="n">
        <f aca="false">COUNTIFS($A$5:$A$30,A34,$B$5:$B$30,B34)</f>
        <v>7</v>
      </c>
    </row>
    <row r="35" customFormat="false" ht="15" hidden="false" customHeight="false" outlineLevel="0" collapsed="false">
      <c r="A35" s="8" t="s">
        <v>88</v>
      </c>
      <c r="B35" s="8" t="s">
        <v>226</v>
      </c>
      <c r="C35" s="8" t="n">
        <f aca="false">COUNTIFS($A$5:$A$30,A35,$B$5:$B$30,B35)</f>
        <v>3</v>
      </c>
    </row>
    <row r="36" customFormat="false" ht="15" hidden="false" customHeight="false" outlineLevel="0" collapsed="false">
      <c r="A36" s="8" t="s">
        <v>88</v>
      </c>
      <c r="B36" s="8" t="s">
        <v>235</v>
      </c>
      <c r="C36" s="8" t="n">
        <f aca="false">COUNTIFS($A$5:$A$30,A36,$B$5:$B$30,B36)</f>
        <v>3</v>
      </c>
    </row>
    <row r="37" customFormat="false" ht="15" hidden="false" customHeight="false" outlineLevel="0" collapsed="false">
      <c r="A37" s="8" t="s">
        <v>88</v>
      </c>
      <c r="B37" s="8" t="s">
        <v>255</v>
      </c>
      <c r="C37" s="8" t="n">
        <f aca="false">COUNTIFS($A$5:$A$30,A37,$B$5:$B$30,B37)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21.75" hidden="false" customHeight="true" outlineLevel="0" collapsed="false">
      <c r="A4" s="7" t="s">
        <v>262</v>
      </c>
      <c r="B4" s="7" t="s">
        <v>107</v>
      </c>
      <c r="C4" s="7" t="s">
        <v>109</v>
      </c>
      <c r="D4" s="7" t="s">
        <v>263</v>
      </c>
    </row>
    <row r="5" customFormat="false" ht="23.85" hidden="false" customHeight="false" outlineLevel="0" collapsed="false">
      <c r="A5" s="8" t="s">
        <v>264</v>
      </c>
      <c r="B5" s="10" t="n">
        <v>44121.91</v>
      </c>
      <c r="C5" s="10" t="n">
        <v>10337.49</v>
      </c>
      <c r="D5" s="8" t="s">
        <v>265</v>
      </c>
    </row>
    <row r="6" customFormat="false" ht="15" hidden="false" customHeight="false" outlineLevel="0" collapsed="false">
      <c r="A6" s="8" t="s">
        <v>266</v>
      </c>
      <c r="B6" s="10" t="n">
        <v>35547.82</v>
      </c>
      <c r="D6" s="8" t="s">
        <v>267</v>
      </c>
    </row>
    <row r="7" customFormat="false" ht="23.85" hidden="false" customHeight="false" outlineLevel="0" collapsed="false">
      <c r="A7" s="8" t="s">
        <v>268</v>
      </c>
      <c r="B7" s="10" t="n">
        <v>28000</v>
      </c>
      <c r="C7" s="10" t="n">
        <v>8000</v>
      </c>
      <c r="D7" s="8" t="s">
        <v>269</v>
      </c>
    </row>
    <row r="8" customFormat="false" ht="23.85" hidden="false" customHeight="false" outlineLevel="0" collapsed="false">
      <c r="A8" s="8" t="s">
        <v>270</v>
      </c>
      <c r="B8" s="10" t="n">
        <f aca="false">ESCOPO!E30</f>
        <v>33100</v>
      </c>
      <c r="C8" s="10" t="n">
        <f aca="false">ESCOPO!E31</f>
        <v>10297.5</v>
      </c>
      <c r="D8" s="8" t="s">
        <v>271</v>
      </c>
    </row>
    <row r="10" customFormat="false" ht="23.85" hidden="false" customHeight="false" outlineLevel="0" collapsed="false">
      <c r="A10" s="14" t="s">
        <v>272</v>
      </c>
      <c r="B10" s="27" t="n">
        <f aca="false">IF(B6=0,0,B8/B6-1)</f>
        <v>-0.0688599188360918</v>
      </c>
      <c r="D1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23.85" hidden="false" customHeight="false" outlineLevel="0" collapsed="false">
      <c r="A4" s="8" t="s">
        <v>275</v>
      </c>
      <c r="B4" s="30" t="n">
        <v>5.43</v>
      </c>
      <c r="E4" s="11" t="s">
        <v>276</v>
      </c>
    </row>
    <row r="6" customFormat="false" ht="21.75" hidden="false" customHeight="true" outlineLevel="0" collapsed="false">
      <c r="A6" s="7" t="s">
        <v>180</v>
      </c>
      <c r="B6" s="7" t="s">
        <v>277</v>
      </c>
      <c r="C6" s="7" t="s">
        <v>278</v>
      </c>
      <c r="D6" s="7" t="s">
        <v>279</v>
      </c>
      <c r="E6" s="7" t="s">
        <v>280</v>
      </c>
    </row>
    <row r="7" customFormat="false" ht="57.45" hidden="false" customHeight="false" outlineLevel="0" collapsed="false">
      <c r="A7" s="8" t="s">
        <v>281</v>
      </c>
      <c r="B7" s="20" t="n">
        <v>9500</v>
      </c>
      <c r="C7" s="23" t="s">
        <v>282</v>
      </c>
      <c r="D7" s="31" t="n">
        <f aca="false">B7/$B$4</f>
        <v>1749.53959484346</v>
      </c>
      <c r="E7" s="8" t="s">
        <v>283</v>
      </c>
    </row>
    <row r="8" customFormat="false" ht="23.85" hidden="false" customHeight="false" outlineLevel="0" collapsed="false">
      <c r="A8" s="8" t="s">
        <v>284</v>
      </c>
      <c r="B8" s="20" t="n">
        <v>1500</v>
      </c>
      <c r="C8" s="23" t="s">
        <v>285</v>
      </c>
      <c r="D8" s="31" t="n">
        <f aca="false">B8/$B$4</f>
        <v>276.243093922652</v>
      </c>
      <c r="E8" s="8" t="s">
        <v>286</v>
      </c>
    </row>
    <row r="9" customFormat="false" ht="15" hidden="false" customHeight="false" outlineLevel="0" collapsed="false">
      <c r="A9" s="8" t="s">
        <v>287</v>
      </c>
      <c r="B9" s="20" t="n">
        <v>2500</v>
      </c>
      <c r="C9" s="23" t="s">
        <v>285</v>
      </c>
      <c r="D9" s="31" t="n">
        <f aca="false">B9/$B$4</f>
        <v>460.405156537753</v>
      </c>
      <c r="E9" s="8" t="s">
        <v>288</v>
      </c>
    </row>
    <row r="10" customFormat="false" ht="15" hidden="false" customHeight="false" outlineLevel="0" collapsed="false">
      <c r="A10" s="8" t="s">
        <v>289</v>
      </c>
      <c r="B10" s="20" t="n">
        <v>600</v>
      </c>
      <c r="C10" s="23" t="s">
        <v>290</v>
      </c>
      <c r="D10" s="31" t="n">
        <f aca="false">B10/$B$4</f>
        <v>110.497237569061</v>
      </c>
      <c r="E10" s="8"/>
    </row>
    <row r="12" customFormat="false" ht="15" hidden="false" customHeight="false" outlineLevel="0" collapsed="false">
      <c r="A12" s="12" t="s">
        <v>291</v>
      </c>
      <c r="B12" s="22" t="n">
        <f aca="false">B7+12*(B8+B9)</f>
        <v>57500</v>
      </c>
      <c r="D12" s="32" t="n">
        <f aca="false">B12/$B$4</f>
        <v>10589.3186003683</v>
      </c>
      <c r="E12" s="12" t="s">
        <v>292</v>
      </c>
    </row>
    <row r="13" customFormat="false" ht="15" hidden="false" customHeight="false" outlineLevel="0" collapsed="false">
      <c r="A13" s="14" t="s">
        <v>293</v>
      </c>
      <c r="B13" s="26" t="n">
        <f aca="false">B7</f>
        <v>9500</v>
      </c>
      <c r="D13" s="33" t="n">
        <f aca="false">B13/$B$4</f>
        <v>1749.53959484346</v>
      </c>
      <c r="E1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294</v>
      </c>
    </row>
    <row r="3" customFormat="false" ht="21.75" hidden="false" customHeight="true" outlineLevel="0" collapsed="false">
      <c r="A3" s="7" t="s">
        <v>295</v>
      </c>
      <c r="B3" s="7" t="s">
        <v>38</v>
      </c>
      <c r="C3" s="7" t="s">
        <v>296</v>
      </c>
      <c r="D3" s="7" t="s">
        <v>297</v>
      </c>
      <c r="E3" s="7" t="s">
        <v>298</v>
      </c>
    </row>
    <row r="4" customFormat="false" ht="23.85" hidden="false" customHeight="false" outlineLevel="0" collapsed="false">
      <c r="A4" s="8" t="n">
        <v>1</v>
      </c>
      <c r="B4" s="8" t="s">
        <v>107</v>
      </c>
      <c r="C4" s="8" t="s">
        <v>299</v>
      </c>
      <c r="D4" s="8" t="s">
        <v>300</v>
      </c>
      <c r="E4" s="8" t="s">
        <v>301</v>
      </c>
    </row>
    <row r="5" customFormat="false" ht="23.85" hidden="false" customHeight="false" outlineLevel="0" collapsed="false">
      <c r="A5" s="8" t="n">
        <v>2</v>
      </c>
      <c r="B5" s="8" t="s">
        <v>107</v>
      </c>
      <c r="C5" s="8" t="s">
        <v>302</v>
      </c>
      <c r="D5" s="8" t="s">
        <v>303</v>
      </c>
      <c r="E5" s="8" t="s">
        <v>304</v>
      </c>
    </row>
    <row r="6" customFormat="false" ht="23.85" hidden="false" customHeight="false" outlineLevel="0" collapsed="false">
      <c r="A6" s="8" t="n">
        <v>3</v>
      </c>
      <c r="B6" s="8" t="s">
        <v>107</v>
      </c>
      <c r="C6" s="8" t="s">
        <v>305</v>
      </c>
      <c r="D6" s="8" t="s">
        <v>306</v>
      </c>
      <c r="E6" s="8" t="s">
        <v>307</v>
      </c>
    </row>
    <row r="7" customFormat="false" ht="23.85" hidden="false" customHeight="false" outlineLevel="0" collapsed="false">
      <c r="A7" s="8" t="n">
        <v>4</v>
      </c>
      <c r="B7" s="8" t="s">
        <v>107</v>
      </c>
      <c r="C7" s="8" t="s">
        <v>308</v>
      </c>
      <c r="D7" s="8" t="s">
        <v>309</v>
      </c>
      <c r="E7" s="8" t="s">
        <v>310</v>
      </c>
    </row>
    <row r="8" customFormat="false" ht="23.85" hidden="false" customHeight="false" outlineLevel="0" collapsed="false">
      <c r="A8" s="8" t="n">
        <v>5</v>
      </c>
      <c r="B8" s="8" t="s">
        <v>311</v>
      </c>
      <c r="C8" s="8" t="s">
        <v>312</v>
      </c>
      <c r="D8" s="8" t="s">
        <v>313</v>
      </c>
      <c r="E8" s="8" t="s">
        <v>314</v>
      </c>
    </row>
    <row r="9" customFormat="false" ht="23.85" hidden="false" customHeight="false" outlineLevel="0" collapsed="false">
      <c r="A9" s="8" t="n">
        <v>6</v>
      </c>
      <c r="B9" s="8" t="s">
        <v>311</v>
      </c>
      <c r="C9" s="8" t="s">
        <v>315</v>
      </c>
      <c r="D9" s="8" t="s">
        <v>316</v>
      </c>
      <c r="E9" s="8" t="s">
        <v>317</v>
      </c>
    </row>
    <row r="10" customFormat="false" ht="15" hidden="false" customHeight="false" outlineLevel="0" collapsed="false">
      <c r="A10" s="8" t="n">
        <v>7</v>
      </c>
      <c r="B10" s="8" t="s">
        <v>311</v>
      </c>
      <c r="C10" s="8" t="s">
        <v>318</v>
      </c>
      <c r="D10" s="8" t="s">
        <v>319</v>
      </c>
      <c r="E10" s="8" t="s">
        <v>310</v>
      </c>
    </row>
    <row r="11" customFormat="false" ht="23.85" hidden="false" customHeight="false" outlineLevel="0" collapsed="false">
      <c r="A11" s="8" t="n">
        <v>8</v>
      </c>
      <c r="B11" s="8" t="s">
        <v>320</v>
      </c>
      <c r="C11" s="8" t="s">
        <v>321</v>
      </c>
      <c r="D11" s="8" t="s">
        <v>322</v>
      </c>
      <c r="E11" s="8" t="s">
        <v>323</v>
      </c>
    </row>
    <row r="12" customFormat="false" ht="15" hidden="false" customHeight="false" outlineLevel="0" collapsed="false">
      <c r="A12" s="8" t="n">
        <v>9</v>
      </c>
      <c r="B12" s="8" t="s">
        <v>109</v>
      </c>
      <c r="C12" s="8" t="s">
        <v>324</v>
      </c>
      <c r="D12" s="8" t="s">
        <v>325</v>
      </c>
      <c r="E12" s="8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2026-10-21T18:14:33Z</dcterms:created>
  <dc:creator>openpyxl</dc:creator>
  <dc:description/>
  <dc:language>en-US</dc:language>
  <cp:lastModifiedBy/>
  <dcterms:modified xsi:type="dcterms:W3CDTF">2026-10-21T18:14:33Z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