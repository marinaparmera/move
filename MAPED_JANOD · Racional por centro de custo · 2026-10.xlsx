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ÂMETROS" sheetId="2" state="visible" r:id="rId4"/>
    <sheet name="EMISSÃO 10-26" sheetId="3" state="visible" r:id="rId5"/>
    <sheet name="CENTRO DE CUSTO" sheetId="4" state="visible" r:id="rId6"/>
    <sheet name="UNITÁRIOS" sheetId="5" state="visible" r:id="rId7"/>
    <sheet name="REEMBOLSO" sheetId="6" state="visible" r:id="rId8"/>
    <sheet name="CONCILIAÇÃO" sheetId="7" state="visible" r:id="rId9"/>
    <sheet name="ANU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<sst xmlns="http://schemas.openxmlformats.org/spreadsheetml/2006/main" count="296" uniqueCount="183">
  <si>
    <t xml:space="preserve">MOVE · Maped e Janod · Racional de apoio por centro de custo</t>
  </si>
  <si>
    <t xml:space="preserve">Base da apresentação "Escopo MOVE por centro de custo" · outubro/2026</t>
  </si>
  <si>
    <t xml:space="preserve">OBJETIVO</t>
  </si>
  <si>
    <t xml:space="preserve">Mostrar, linha a linha, de onde sai cada valor da apresentação e provar que a soma por centro de custo bate com a emissão de NF e com as notas de setembro.</t>
  </si>
  <si>
    <t xml:space="preserve">CENTRO DE CUSTO</t>
  </si>
  <si>
    <t xml:space="preserve">É o DEPARTAMENTO DRE da planilha de emissão. Cada SERVIÇO cai em um centro de custo pela aba PARÂMETROS: Mídia, SAC 3.0, Conteúdo e Influenciadores.</t>
  </si>
  <si>
    <t xml:space="preserve">COMO LER</t>
  </si>
  <si>
    <t xml:space="preserve">Texto azul = valor digitado, copiado da fonte. Texto preto = fórmula. Texto verde = fórmula que puxa de outra aba. Fundo amarelo = ponto a confirmar. Fundo verde = conferência OK.</t>
  </si>
  <si>
    <t xml:space="preserve">ABAS</t>
  </si>
  <si>
    <t xml:space="preserve">EMISSÃO 10-26 (linhas de Maped e Janod) · PARÂMETROS (serviço x centro de custo) · CENTRO DE CUSTO (soma por marca) · UNITÁRIOS (preço por entrega) · CONCILIAÇÃO (bate com NF) · REEMBOLSO (custo + 30%) · ANUAL (out a dez e 12 meses).</t>
  </si>
  <si>
    <t xml:space="preserve">FONTES</t>
  </si>
  <si>
    <t xml:space="preserve">Emissão de NF</t>
  </si>
  <si>
    <t xml:space="preserve">Planilha "Emissão NF · Modelo MOVE (a partir de 10-26)", aba 10-26, NF 10 (Maped) e NF 12 (Janod). Reembolsos nas NFs 11 e 13.</t>
  </si>
  <si>
    <t xml:space="preserve">Conversa de emissão</t>
  </si>
  <si>
    <t xml:space="preserve">E-mails do financeiro de 02/10/2026: "Faturamento Setembro/2026 | MAPED | NFs 3138 e 3139" (R$ 33.100,00 + R$ 994,53 = R$ 34.094,53) e "Faturamento Setembro/2026 | JANOD | NFs 3140 e 3141" (R$ 10.297,50 + R$ 827,36 = R$ 11.124,86). Vencimento 15/10/2026.</t>
  </si>
  <si>
    <t xml:space="preserve">Mapa de centro de custo</t>
  </si>
  <si>
    <t xml:space="preserve">Aba PARÂMETROS da mesma planilha de emissão (SERVIÇOS x CENTRO DE CUSTO).</t>
  </si>
  <si>
    <t xml:space="preserve">PREMISSAS</t>
  </si>
  <si>
    <t xml:space="preserve">1. Fee</t>
  </si>
  <si>
    <t xml:space="preserve">Soma das linhas com FATURAR = SIM. Linhas inclusas ou bonificadas ficam registradas com valor zero e aparecem no slide como entrega sem cobrança.</t>
  </si>
  <si>
    <t xml:space="preserve">2. Reembolso</t>
  </si>
  <si>
    <t xml:space="preserve">Caixas, fretes e insumos saem em NF própria, a custo + 30% de gestão, no centro de custo Influenciadores. Não entram no fee mensal.</t>
  </si>
  <si>
    <t xml:space="preserve">3. Verba de mídia</t>
  </si>
  <si>
    <t xml:space="preserve">A verba dos veículos é paga pela Maped direto às plataformas e não passa pelo faturamento da MOVE. O fee de mídia remunera gestão, planejamento e relatório.</t>
  </si>
  <si>
    <t xml:space="preserve">4. Mês</t>
  </si>
  <si>
    <t xml:space="preserve">A aba 10-26 é o mês de emissão; os serviços se referem ao mês anterior. Novembro e dezembro repetem o mesmo fee (projeção).</t>
  </si>
  <si>
    <t xml:space="preserve">Serviço x centro de custo (DEPARTAMENTO DRE)</t>
  </si>
  <si>
    <t xml:space="preserve">Cópia da aba PARÂMETROS da planilha de emissão</t>
  </si>
  <si>
    <t xml:space="preserve">Serviço (emissão)</t>
  </si>
  <si>
    <t xml:space="preserve">Centro de custo</t>
  </si>
  <si>
    <t xml:space="preserve">Prefixo na NF</t>
  </si>
  <si>
    <t xml:space="preserve">MÍDIA PAGA I TRÁFEGO</t>
  </si>
  <si>
    <t xml:space="preserve">MÍDIA</t>
  </si>
  <si>
    <t xml:space="preserve">MIDIA</t>
  </si>
  <si>
    <t xml:space="preserve">MÍDIA ORGÂNICA</t>
  </si>
  <si>
    <t xml:space="preserve">REDES SOCIAIS | INTELIGÊNCIA</t>
  </si>
  <si>
    <t xml:space="preserve">SAC 3.0 I ATENDIMENTO DIGITAL</t>
  </si>
  <si>
    <t xml:space="preserve">SAC 3.0</t>
  </si>
  <si>
    <t xml:space="preserve">SAC</t>
  </si>
  <si>
    <t xml:space="preserve">PRODUÇÃO DE CONTEÚDO</t>
  </si>
  <si>
    <t xml:space="preserve">CONTEÚDO</t>
  </si>
  <si>
    <t xml:space="preserve">CONTEUDO</t>
  </si>
  <si>
    <t xml:space="preserve">INFLUENCIADORES DIGITAIS</t>
  </si>
  <si>
    <t xml:space="preserve">INFLUENCIADORES</t>
  </si>
  <si>
    <t xml:space="preserve">INFLU</t>
  </si>
  <si>
    <t xml:space="preserve">REEMBOLSO</t>
  </si>
  <si>
    <t xml:space="preserve">INFLU-REEMBOLSOS</t>
  </si>
  <si>
    <t xml:space="preserve">EXTRA / PROJETO</t>
  </si>
  <si>
    <t xml:space="preserve">Linhas de Maped e Janod na emissão de outubro/2026</t>
  </si>
  <si>
    <t xml:space="preserve">Copiadas da aba 10-26. O centro de custo vem da aba PARÂMETROS por fórmula (INDEX/MATCH).</t>
  </si>
  <si>
    <t xml:space="preserve">NF</t>
  </si>
  <si>
    <t xml:space="preserve">Marca</t>
  </si>
  <si>
    <t xml:space="preserve">Serviço</t>
  </si>
  <si>
    <t xml:space="preserve">Detalhamento (texto da nota)</t>
  </si>
  <si>
    <t xml:space="preserve">Entrega resumida</t>
  </si>
  <si>
    <t xml:space="preserve">Qtd.</t>
  </si>
  <si>
    <t xml:space="preserve">Unidade</t>
  </si>
  <si>
    <t xml:space="preserve">Valor</t>
  </si>
  <si>
    <t xml:space="preserve">Faturar</t>
  </si>
  <si>
    <t xml:space="preserve">Valor faturado</t>
  </si>
  <si>
    <t xml:space="preserve">Obs.</t>
  </si>
  <si>
    <t xml:space="preserve">MAPED</t>
  </si>
  <si>
    <t xml:space="preserve">MÍDIA I META - 14 PUBLICAÇÕES I 5 FOTOS - 4 GRÁFICOS - 5 VÍDEOS</t>
  </si>
  <si>
    <t xml:space="preserve">Meta: gestão das 14 publicações</t>
  </si>
  <si>
    <t xml:space="preserve">publicação</t>
  </si>
  <si>
    <t xml:space="preserve">SIM</t>
  </si>
  <si>
    <t xml:space="preserve">MÍDIA I GOOGLE - (BRANDING - CONCORRENTES - YOUTUBE - PMAX)</t>
  </si>
  <si>
    <t xml:space="preserve">Google: branding, concorrentes, YouTube, PMax</t>
  </si>
  <si>
    <t xml:space="preserve">conta</t>
  </si>
  <si>
    <t xml:space="preserve">NÃO</t>
  </si>
  <si>
    <t xml:space="preserve">Sem valor na aba 10/26. Confirmar se é bonificação ou suspensão.</t>
  </si>
  <si>
    <t xml:space="preserve">MÍDIA I TIKTOK - 5 VÍDEOS</t>
  </si>
  <si>
    <t xml:space="preserve">TikTok: patrocínio dos 5 vídeos</t>
  </si>
  <si>
    <t xml:space="preserve">vídeo</t>
  </si>
  <si>
    <t xml:space="preserve">MÍDIA PATROCINADA I AMAZON</t>
  </si>
  <si>
    <t xml:space="preserve">Amazon Ads</t>
  </si>
  <si>
    <t xml:space="preserve">MÍDIA PATROCINADA I MERCADO LIVRE</t>
  </si>
  <si>
    <t xml:space="preserve">Mercado Livre Product Ads</t>
  </si>
  <si>
    <t xml:space="preserve">MÍDIA PATROCINADA I SHOPEE</t>
  </si>
  <si>
    <t xml:space="preserve">Shopee Ads</t>
  </si>
  <si>
    <t xml:space="preserve">Anúncios pausados desde 01/10 (contrato Lepok). Confirmar com a Maped.</t>
  </si>
  <si>
    <t xml:space="preserve">14 PUBLICAÇÕES I META / 8 PINTEREST / 5 TIKTOK / 2 YOUTUBE (INCLUSO NO PACOTE)</t>
  </si>
  <si>
    <t xml:space="preserve">Redes: 14 Meta, 8 Pinterest, 5 TikTok, 2 YouTube</t>
  </si>
  <si>
    <t xml:space="preserve">Incluso no pacote.</t>
  </si>
  <si>
    <t xml:space="preserve">(TIME + COORD) ... INSTAGRAM + STORIES / FACEBOOK + MESSENGER E TIKTOK, LIMITE 1000 INTERAÇÕES, SEG A SEG</t>
  </si>
  <si>
    <t xml:space="preserve">SAC redes: até 1.000 interações, seg a seg</t>
  </si>
  <si>
    <t xml:space="preserve">interação</t>
  </si>
  <si>
    <t xml:space="preserve">(TIME + COORD) ... SAC E-MAIL LIMITE 500 MSG, SEG A SEG EXCETO FERIADOS</t>
  </si>
  <si>
    <t xml:space="preserve">SAC e-mail: até 500 mensagens</t>
  </si>
  <si>
    <t xml:space="preserve">mensagem</t>
  </si>
  <si>
    <t xml:space="preserve">ATENDIMENTO/MONITORAMENTO - RECLAMAÇÕES/ENVIOS PLANILHAS - LIMITE 40 MENSAIS</t>
  </si>
  <si>
    <t xml:space="preserve">Reclamações e envios: até 40 casos</t>
  </si>
  <si>
    <t xml:space="preserve">caso</t>
  </si>
  <si>
    <t xml:space="preserve">RD STATION SAC PARA WHATSAPP / AUTOMATIZAÇÕES DE MENSAGENS DO BOT</t>
  </si>
  <si>
    <t xml:space="preserve">WhatsApp RD Station e bot</t>
  </si>
  <si>
    <t xml:space="preserve">RECLAME AQUI ATENDIMENTO (BONIFICADO)</t>
  </si>
  <si>
    <t xml:space="preserve">Reclame Aqui</t>
  </si>
  <si>
    <t xml:space="preserve">Bonificado.</t>
  </si>
  <si>
    <t xml:space="preserve">5 FOTOS - 4 GRÁFICOS</t>
  </si>
  <si>
    <t xml:space="preserve">5 fotos + 4 gráficos</t>
  </si>
  <si>
    <t xml:space="preserve">post</t>
  </si>
  <si>
    <t xml:space="preserve">4 VÍDEOS FR</t>
  </si>
  <si>
    <t xml:space="preserve">4 vídeos FR adaptados</t>
  </si>
  <si>
    <t xml:space="preserve">1 VÍDEO BR</t>
  </si>
  <si>
    <t xml:space="preserve">1 vídeo BR roteiro e captação MOVE</t>
  </si>
  <si>
    <t xml:space="preserve">7 SEEDINGS - MOVE ENVIA</t>
  </si>
  <si>
    <t xml:space="preserve">7 seedings por mês</t>
  </si>
  <si>
    <t xml:space="preserve">seeding</t>
  </si>
  <si>
    <t xml:space="preserve">Caixas e fretes no reembolso (NF 11).</t>
  </si>
  <si>
    <t xml:space="preserve">JANOD</t>
  </si>
  <si>
    <t xml:space="preserve">8 PEÇAS I 3 GRÁFICOS</t>
  </si>
  <si>
    <t xml:space="preserve">3 gráficos</t>
  </si>
  <si>
    <t xml:space="preserve">8 PEÇAS I 3 FOTOS</t>
  </si>
  <si>
    <t xml:space="preserve">3 fotos</t>
  </si>
  <si>
    <t xml:space="preserve">8 PEÇAS I 2 VÍDEOS I 9:16</t>
  </si>
  <si>
    <t xml:space="preserve">2 vídeos 9:16</t>
  </si>
  <si>
    <t xml:space="preserve">8 PUBLICAÇÕES I META / 8 PINTEREST / 2 TIKTOK / 2 YOUTUBE (INCLUSO NO PACOTE)</t>
  </si>
  <si>
    <t xml:space="preserve">Redes: 8 Meta, 8 Pinterest, 2 TikTok, 2 YouTube</t>
  </si>
  <si>
    <t xml:space="preserve">MÍDIA META I 6 POSTS + 2 VÍDEOS</t>
  </si>
  <si>
    <t xml:space="preserve">Meta: 6 posts + 2 vídeos</t>
  </si>
  <si>
    <t xml:space="preserve">peça</t>
  </si>
  <si>
    <t xml:space="preserve">MÍDIA GOOGLE I 6 POSTS + 2 VÍDEOS - (BRANDING - CONCORRENTES - YOUTUBE - PMAX)</t>
  </si>
  <si>
    <t xml:space="preserve">Google: 6 posts + 2 vídeos</t>
  </si>
  <si>
    <t xml:space="preserve">ATENDIMENTO REDE SOCIAL FACEBOOK INSTAGRAM FEED, DIRECT E STORIES ... SLA 3X AO DIA | SEG A SEX | ATÉ 300 INTERAÇÕES</t>
  </si>
  <si>
    <t xml:space="preserve">SAC Facebook e Instagram: até 300 interações</t>
  </si>
  <si>
    <t xml:space="preserve">3 SEEDINGS - MOVE ENVIA</t>
  </si>
  <si>
    <t xml:space="preserve">3 seedings por mês</t>
  </si>
  <si>
    <t xml:space="preserve">Caixas e fretes no reembolso (NF 13).</t>
  </si>
  <si>
    <t xml:space="preserve">Total MAPED</t>
  </si>
  <si>
    <t xml:space="preserve">Total JANOD</t>
  </si>
  <si>
    <t xml:space="preserve">Total grupo</t>
  </si>
  <si>
    <t xml:space="preserve">Fee mensal por centro de custo</t>
  </si>
  <si>
    <t xml:space="preserve">SUMIFS sobre a aba EMISSÃO 10-26. Cada linha é um slide da apresentação.</t>
  </si>
  <si>
    <t xml:space="preserve">Maped</t>
  </si>
  <si>
    <t xml:space="preserve">% Maped</t>
  </si>
  <si>
    <t xml:space="preserve">Ordem no deck Maped</t>
  </si>
  <si>
    <t xml:space="preserve">Janod</t>
  </si>
  <si>
    <t xml:space="preserve">% Janod</t>
  </si>
  <si>
    <t xml:space="preserve">Ordem no deck Janod</t>
  </si>
  <si>
    <t xml:space="preserve">Total do fee mensal</t>
  </si>
  <si>
    <t xml:space="preserve">Fee mensal do grupo</t>
  </si>
  <si>
    <t xml:space="preserve">Linhas sem cobrança (entregues, valor zero)</t>
  </si>
  <si>
    <t xml:space="preserve">Maped · qtd. de linhas FATURAR = NÃO</t>
  </si>
  <si>
    <t xml:space="preserve">Janod · qtd. de linhas FATURAR = NÃO</t>
  </si>
  <si>
    <t xml:space="preserve">Preço por entrega</t>
  </si>
  <si>
    <t xml:space="preserve">Valor da linha / quantidade contratada. Ajuda a explicar cada frente e a comparar Maped e Janod.</t>
  </si>
  <si>
    <t xml:space="preserve">Entrega</t>
  </si>
  <si>
    <t xml:space="preserve">Valor da linha</t>
  </si>
  <si>
    <t xml:space="preserve">Preço por unidade</t>
  </si>
  <si>
    <t xml:space="preserve">Reembolso de setembro/2026 · custo + 30%</t>
  </si>
  <si>
    <t xml:space="preserve">NFs 3139 (Maped) e 3141 (Janod). Centro de custo Influenciadores, fora do fee.</t>
  </si>
  <si>
    <t xml:space="preserve">Taxa de gestão sobre o custo</t>
  </si>
  <si>
    <t xml:space="preserve">Valor faturado (custo + 30%)</t>
  </si>
  <si>
    <t xml:space="preserve">Custo das despesas</t>
  </si>
  <si>
    <t xml:space="preserve">Gestão MOVE (30%)</t>
  </si>
  <si>
    <t xml:space="preserve">Total</t>
  </si>
  <si>
    <t xml:space="preserve">O detalhe item a item está no "Relatório de Reembolso" anexo a cada e-mail de faturamento. Na emissão de outubro as linhas de reembolso (NF 11 e NF 13) ainda estão com valor zero: o valor entra pelo detalhe de reembolsos (colunas N a Q).</t>
  </si>
  <si>
    <t xml:space="preserve">Conciliação: centros de custo x emissão x NF de setembro</t>
  </si>
  <si>
    <t xml:space="preserve">Se todas as conferências estiverem OK, o valor do deck bate com a nota fiscal.</t>
  </si>
  <si>
    <t xml:space="preserve">Conferência</t>
  </si>
  <si>
    <t xml:space="preserve">Grupo</t>
  </si>
  <si>
    <t xml:space="preserve">Soma dos centros de custo (aba CENTRO DE CUSTO)</t>
  </si>
  <si>
    <t xml:space="preserve">Total da emissão 10-26 (aba EMISSÃO 10-26)</t>
  </si>
  <si>
    <t xml:space="preserve">Resumo por NF na planilha de emissão (NF 10 e NF 12)</t>
  </si>
  <si>
    <t xml:space="preserve">NF de serviço de setembro (3138 e 3140)</t>
  </si>
  <si>
    <t xml:space="preserve">NF de reembolso de setembro (3139 e 3141)</t>
  </si>
  <si>
    <t xml:space="preserve">Total faturado em setembro (e-mail de 02/10)</t>
  </si>
  <si>
    <t xml:space="preserve">CONFERÊNCIAS</t>
  </si>
  <si>
    <t xml:space="preserve">Centros de custo = emissão</t>
  </si>
  <si>
    <t xml:space="preserve">Emissão = resumo por NF</t>
  </si>
  <si>
    <t xml:space="preserve">Emissão = NF de serviço de setembro</t>
  </si>
  <si>
    <t xml:space="preserve">Serviço + reembolso = total do e-mail</t>
  </si>
  <si>
    <t xml:space="preserve">Valor total por marca</t>
  </si>
  <si>
    <t xml:space="preserve">Fee mensal da emissão de outubro. Novembro e dezembro projetados iguais.</t>
  </si>
  <si>
    <t xml:space="preserve">Meses no ano</t>
  </si>
  <si>
    <t xml:space="preserve">Meses de out a dez/2026</t>
  </si>
  <si>
    <t xml:space="preserve">Maped mês</t>
  </si>
  <si>
    <t xml:space="preserve">Maped out a dez</t>
  </si>
  <si>
    <t xml:space="preserve">Maped 12 meses</t>
  </si>
  <si>
    <t xml:space="preserve">Janod mês</t>
  </si>
  <si>
    <t xml:space="preserve">Janod out a dez</t>
  </si>
  <si>
    <t xml:space="preserve">Janod 12 meses</t>
  </si>
  <si>
    <t xml:space="preserve">Grupo 12 meses (Maped + Janod)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</si>
</sst>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.00"/>
    <numFmt numFmtId="167" formatCode="0.0%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33F"/>
      <name val="Arial"/>
      <family val="0"/>
      <charset val="1"/>
    </font>
    <font>
      <i val="true"/>
      <sz val="10"/>
      <color rgb="FF5E6A8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FFF2CC"/>
        <bgColor rgb="FFEEE8DA"/>
      </patternFill>
    </fill>
    <fill>
      <patternFill patternType="solid">
        <fgColor rgb="FFEEE8DA"/>
        <bgColor rgb="FFE2EFDA"/>
      </patternFill>
    </fill>
    <fill>
      <patternFill patternType="solid">
        <fgColor rgb="FFE2EFDA"/>
        <bgColor rgb="FFEEE8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E8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10</v>
      </c>
      <c r="B9" s="4"/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23.8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17</v>
      </c>
      <c r="B14" s="4"/>
    </row>
    <row r="15" customFormat="false" ht="23.8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23.8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5" t="s">
        <v>28</v>
      </c>
      <c r="B4" s="5" t="s">
        <v>29</v>
      </c>
      <c r="C4" s="5" t="s">
        <v>30</v>
      </c>
    </row>
    <row r="5" customFormat="false" ht="15" hidden="false" customHeight="false" outlineLevel="0" collapsed="false">
      <c r="A5" s="6" t="s">
        <v>31</v>
      </c>
      <c r="B5" s="6" t="s">
        <v>32</v>
      </c>
      <c r="C5" s="6" t="s">
        <v>33</v>
      </c>
    </row>
    <row r="6" customFormat="false" ht="15" hidden="false" customHeight="false" outlineLevel="0" collapsed="false">
      <c r="A6" s="6" t="s">
        <v>34</v>
      </c>
      <c r="B6" s="6" t="s">
        <v>32</v>
      </c>
      <c r="C6" s="6" t="s">
        <v>33</v>
      </c>
    </row>
    <row r="7" customFormat="false" ht="15" hidden="false" customHeight="false" outlineLevel="0" collapsed="false">
      <c r="A7" s="6" t="s">
        <v>35</v>
      </c>
      <c r="B7" s="6" t="s">
        <v>32</v>
      </c>
      <c r="C7" s="6" t="s">
        <v>33</v>
      </c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</row>
    <row r="9" customFormat="false" ht="15" hidden="false" customHeight="false" outlineLevel="0" collapsed="false">
      <c r="A9" s="6" t="s">
        <v>39</v>
      </c>
      <c r="B9" s="6" t="s">
        <v>40</v>
      </c>
      <c r="C9" s="6" t="s">
        <v>41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44</v>
      </c>
    </row>
    <row r="11" customFormat="false" ht="15" hidden="false" customHeight="false" outlineLevel="0" collapsed="false">
      <c r="A11" s="6" t="s">
        <v>45</v>
      </c>
      <c r="B11" s="6" t="s">
        <v>43</v>
      </c>
      <c r="C11" s="6" t="s">
        <v>46</v>
      </c>
    </row>
    <row r="12" customFormat="false" ht="15" hidden="false" customHeight="false" outlineLevel="0" collapsed="false">
      <c r="A12" s="6" t="s">
        <v>47</v>
      </c>
      <c r="B12" s="6" t="s">
        <v>40</v>
      </c>
      <c r="C12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5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5" t="s">
        <v>50</v>
      </c>
      <c r="B4" s="5" t="s">
        <v>51</v>
      </c>
      <c r="C4" s="5" t="s">
        <v>52</v>
      </c>
      <c r="D4" s="5" t="s">
        <v>29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59</v>
      </c>
      <c r="L4" s="5" t="s">
        <v>60</v>
      </c>
    </row>
    <row r="5" customFormat="false" ht="23.85" hidden="false" customHeight="false" outlineLevel="0" collapsed="false">
      <c r="A5" s="6" t="n">
        <v>10</v>
      </c>
      <c r="B5" s="6" t="s">
        <v>61</v>
      </c>
      <c r="C5" s="6" t="s">
        <v>31</v>
      </c>
      <c r="D5" s="7" t="str">
        <f aca="false">INDEX(PARÂMETROS!$B$5:$B$12,MATCH(C5,PARÂMETROS!$A$5:$A$12,0))</f>
        <v>MÍDIA</v>
      </c>
      <c r="E5" s="8" t="s">
        <v>62</v>
      </c>
      <c r="F5" s="8" t="s">
        <v>63</v>
      </c>
      <c r="G5" s="9" t="n">
        <v>14</v>
      </c>
      <c r="H5" s="6" t="s">
        <v>64</v>
      </c>
      <c r="I5" s="10" t="n">
        <v>3849</v>
      </c>
      <c r="J5" s="6" t="s">
        <v>65</v>
      </c>
      <c r="K5" s="11" t="n">
        <f aca="false">IF(J5="SIM",I5,0)</f>
        <v>3849</v>
      </c>
      <c r="L5" s="4"/>
    </row>
    <row r="6" customFormat="false" ht="23.85" hidden="false" customHeight="false" outlineLevel="0" collapsed="false">
      <c r="A6" s="6" t="n">
        <v>10</v>
      </c>
      <c r="B6" s="6" t="s">
        <v>61</v>
      </c>
      <c r="C6" s="6" t="s">
        <v>31</v>
      </c>
      <c r="D6" s="7" t="str">
        <f aca="false">INDEX(PARÂMETROS!$B$5:$B$12,MATCH(C6,PARÂMETROS!$A$5:$A$12,0))</f>
        <v>MÍDIA</v>
      </c>
      <c r="E6" s="8" t="s">
        <v>66</v>
      </c>
      <c r="F6" s="8" t="s">
        <v>67</v>
      </c>
      <c r="G6" s="9"/>
      <c r="H6" s="6" t="s">
        <v>68</v>
      </c>
      <c r="I6" s="12" t="n">
        <v>0</v>
      </c>
      <c r="J6" s="13" t="s">
        <v>69</v>
      </c>
      <c r="K6" s="11" t="n">
        <f aca="false">IF(J6="SIM",I6,0)</f>
        <v>0</v>
      </c>
      <c r="L6" s="14" t="s">
        <v>70</v>
      </c>
    </row>
    <row r="7" customFormat="false" ht="15" hidden="false" customHeight="false" outlineLevel="0" collapsed="false">
      <c r="A7" s="6" t="n">
        <v>10</v>
      </c>
      <c r="B7" s="6" t="s">
        <v>61</v>
      </c>
      <c r="C7" s="6" t="s">
        <v>31</v>
      </c>
      <c r="D7" s="7" t="str">
        <f aca="false">INDEX(PARÂMETROS!$B$5:$B$12,MATCH(C7,PARÂMETROS!$A$5:$A$12,0))</f>
        <v>MÍDIA</v>
      </c>
      <c r="E7" s="8" t="s">
        <v>71</v>
      </c>
      <c r="F7" s="8" t="s">
        <v>72</v>
      </c>
      <c r="G7" s="9" t="n">
        <v>5</v>
      </c>
      <c r="H7" s="6" t="s">
        <v>73</v>
      </c>
      <c r="I7" s="10" t="n">
        <v>1745</v>
      </c>
      <c r="J7" s="6" t="s">
        <v>65</v>
      </c>
      <c r="K7" s="11" t="n">
        <f aca="false">IF(J7="SIM",I7,0)</f>
        <v>1745</v>
      </c>
      <c r="L7" s="4"/>
    </row>
    <row r="8" customFormat="false" ht="15" hidden="false" customHeight="false" outlineLevel="0" collapsed="false">
      <c r="A8" s="6" t="n">
        <v>10</v>
      </c>
      <c r="B8" s="6" t="s">
        <v>61</v>
      </c>
      <c r="C8" s="6" t="s">
        <v>31</v>
      </c>
      <c r="D8" s="7" t="str">
        <f aca="false">INDEX(PARÂMETROS!$B$5:$B$12,MATCH(C8,PARÂMETROS!$A$5:$A$12,0))</f>
        <v>MÍDIA</v>
      </c>
      <c r="E8" s="8" t="s">
        <v>74</v>
      </c>
      <c r="F8" s="8" t="s">
        <v>75</v>
      </c>
      <c r="G8" s="9" t="n">
        <v>1</v>
      </c>
      <c r="H8" s="6" t="s">
        <v>68</v>
      </c>
      <c r="I8" s="10" t="n">
        <v>1500</v>
      </c>
      <c r="J8" s="6" t="s">
        <v>65</v>
      </c>
      <c r="K8" s="11" t="n">
        <f aca="false">IF(J8="SIM",I8,0)</f>
        <v>1500</v>
      </c>
      <c r="L8" s="4"/>
    </row>
    <row r="9" customFormat="false" ht="15" hidden="false" customHeight="false" outlineLevel="0" collapsed="false">
      <c r="A9" s="6" t="n">
        <v>10</v>
      </c>
      <c r="B9" s="6" t="s">
        <v>61</v>
      </c>
      <c r="C9" s="6" t="s">
        <v>31</v>
      </c>
      <c r="D9" s="7" t="str">
        <f aca="false">INDEX(PARÂMETROS!$B$5:$B$12,MATCH(C9,PARÂMETROS!$A$5:$A$12,0))</f>
        <v>MÍDIA</v>
      </c>
      <c r="E9" s="8" t="s">
        <v>76</v>
      </c>
      <c r="F9" s="8" t="s">
        <v>77</v>
      </c>
      <c r="G9" s="9" t="n">
        <v>1</v>
      </c>
      <c r="H9" s="6" t="s">
        <v>68</v>
      </c>
      <c r="I9" s="10" t="n">
        <v>1500</v>
      </c>
      <c r="J9" s="6" t="s">
        <v>65</v>
      </c>
      <c r="K9" s="11" t="n">
        <f aca="false">IF(J9="SIM",I9,0)</f>
        <v>1500</v>
      </c>
      <c r="L9" s="4"/>
    </row>
    <row r="10" customFormat="false" ht="23.85" hidden="false" customHeight="false" outlineLevel="0" collapsed="false">
      <c r="A10" s="6" t="n">
        <v>10</v>
      </c>
      <c r="B10" s="6" t="s">
        <v>61</v>
      </c>
      <c r="C10" s="6" t="s">
        <v>31</v>
      </c>
      <c r="D10" s="7" t="str">
        <f aca="false">INDEX(PARÂMETROS!$B$5:$B$12,MATCH(C10,PARÂMETROS!$A$5:$A$12,0))</f>
        <v>MÍDIA</v>
      </c>
      <c r="E10" s="8" t="s">
        <v>78</v>
      </c>
      <c r="F10" s="8" t="s">
        <v>79</v>
      </c>
      <c r="G10" s="9" t="n">
        <v>1</v>
      </c>
      <c r="H10" s="6" t="s">
        <v>68</v>
      </c>
      <c r="I10" s="12" t="n">
        <v>1500</v>
      </c>
      <c r="J10" s="13" t="s">
        <v>65</v>
      </c>
      <c r="K10" s="11" t="n">
        <f aca="false">IF(J10="SIM",I10,0)</f>
        <v>1500</v>
      </c>
      <c r="L10" s="14" t="s">
        <v>80</v>
      </c>
    </row>
    <row r="11" customFormat="false" ht="23.85" hidden="false" customHeight="false" outlineLevel="0" collapsed="false">
      <c r="A11" s="6" t="n">
        <v>10</v>
      </c>
      <c r="B11" s="6" t="s">
        <v>61</v>
      </c>
      <c r="C11" s="6" t="s">
        <v>35</v>
      </c>
      <c r="D11" s="7" t="str">
        <f aca="false">INDEX(PARÂMETROS!$B$5:$B$12,MATCH(C11,PARÂMETROS!$A$5:$A$12,0))</f>
        <v>MÍDIA</v>
      </c>
      <c r="E11" s="8" t="s">
        <v>81</v>
      </c>
      <c r="F11" s="8" t="s">
        <v>82</v>
      </c>
      <c r="G11" s="9" t="n">
        <v>29</v>
      </c>
      <c r="H11" s="6" t="s">
        <v>64</v>
      </c>
      <c r="I11" s="10" t="n">
        <v>0</v>
      </c>
      <c r="J11" s="6" t="s">
        <v>69</v>
      </c>
      <c r="K11" s="11" t="n">
        <f aca="false">IF(J11="SIM",I11,0)</f>
        <v>0</v>
      </c>
      <c r="L11" s="4" t="s">
        <v>83</v>
      </c>
    </row>
    <row r="12" customFormat="false" ht="23.85" hidden="false" customHeight="false" outlineLevel="0" collapsed="false">
      <c r="A12" s="6" t="n">
        <v>10</v>
      </c>
      <c r="B12" s="6" t="s">
        <v>61</v>
      </c>
      <c r="C12" s="6" t="s">
        <v>36</v>
      </c>
      <c r="D12" s="7" t="str">
        <f aca="false">INDEX(PARÂMETROS!$B$5:$B$12,MATCH(C12,PARÂMETROS!$A$5:$A$12,0))</f>
        <v>SAC 3.0</v>
      </c>
      <c r="E12" s="8" t="s">
        <v>84</v>
      </c>
      <c r="F12" s="8" t="s">
        <v>85</v>
      </c>
      <c r="G12" s="9" t="n">
        <v>1000</v>
      </c>
      <c r="H12" s="6" t="s">
        <v>86</v>
      </c>
      <c r="I12" s="10" t="n">
        <v>6048</v>
      </c>
      <c r="J12" s="6" t="s">
        <v>65</v>
      </c>
      <c r="K12" s="11" t="n">
        <f aca="false">IF(J12="SIM",I12,0)</f>
        <v>6048</v>
      </c>
      <c r="L12" s="4"/>
    </row>
    <row r="13" customFormat="false" ht="23.85" hidden="false" customHeight="false" outlineLevel="0" collapsed="false">
      <c r="A13" s="6" t="n">
        <v>10</v>
      </c>
      <c r="B13" s="6" t="s">
        <v>61</v>
      </c>
      <c r="C13" s="6" t="s">
        <v>36</v>
      </c>
      <c r="D13" s="7" t="str">
        <f aca="false">INDEX(PARÂMETROS!$B$5:$B$12,MATCH(C13,PARÂMETROS!$A$5:$A$12,0))</f>
        <v>SAC 3.0</v>
      </c>
      <c r="E13" s="8" t="s">
        <v>87</v>
      </c>
      <c r="F13" s="8" t="s">
        <v>88</v>
      </c>
      <c r="G13" s="9" t="n">
        <v>500</v>
      </c>
      <c r="H13" s="6" t="s">
        <v>89</v>
      </c>
      <c r="I13" s="10" t="n">
        <v>2444</v>
      </c>
      <c r="J13" s="6" t="s">
        <v>65</v>
      </c>
      <c r="K13" s="11" t="n">
        <f aca="false">IF(J13="SIM",I13,0)</f>
        <v>2444</v>
      </c>
      <c r="L13" s="4"/>
    </row>
    <row r="14" customFormat="false" ht="23.85" hidden="false" customHeight="false" outlineLevel="0" collapsed="false">
      <c r="A14" s="6" t="n">
        <v>10</v>
      </c>
      <c r="B14" s="6" t="s">
        <v>61</v>
      </c>
      <c r="C14" s="6" t="s">
        <v>36</v>
      </c>
      <c r="D14" s="7" t="str">
        <f aca="false">INDEX(PARÂMETROS!$B$5:$B$12,MATCH(C14,PARÂMETROS!$A$5:$A$12,0))</f>
        <v>SAC 3.0</v>
      </c>
      <c r="E14" s="8" t="s">
        <v>90</v>
      </c>
      <c r="F14" s="8" t="s">
        <v>91</v>
      </c>
      <c r="G14" s="9" t="n">
        <v>40</v>
      </c>
      <c r="H14" s="6" t="s">
        <v>92</v>
      </c>
      <c r="I14" s="10" t="n">
        <v>2328</v>
      </c>
      <c r="J14" s="6" t="s">
        <v>65</v>
      </c>
      <c r="K14" s="11" t="n">
        <f aca="false">IF(J14="SIM",I14,0)</f>
        <v>2328</v>
      </c>
      <c r="L14" s="4"/>
    </row>
    <row r="15" customFormat="false" ht="23.85" hidden="false" customHeight="false" outlineLevel="0" collapsed="false">
      <c r="A15" s="6" t="n">
        <v>10</v>
      </c>
      <c r="B15" s="6" t="s">
        <v>61</v>
      </c>
      <c r="C15" s="6" t="s">
        <v>36</v>
      </c>
      <c r="D15" s="7" t="str">
        <f aca="false">INDEX(PARÂMETROS!$B$5:$B$12,MATCH(C15,PARÂMETROS!$A$5:$A$12,0))</f>
        <v>SAC 3.0</v>
      </c>
      <c r="E15" s="8" t="s">
        <v>93</v>
      </c>
      <c r="F15" s="8" t="s">
        <v>94</v>
      </c>
      <c r="G15" s="9" t="n">
        <v>1</v>
      </c>
      <c r="H15" s="6" t="s">
        <v>68</v>
      </c>
      <c r="I15" s="10" t="n">
        <v>2000</v>
      </c>
      <c r="J15" s="6" t="s">
        <v>65</v>
      </c>
      <c r="K15" s="11" t="n">
        <f aca="false">IF(J15="SIM",I15,0)</f>
        <v>2000</v>
      </c>
      <c r="L15" s="4"/>
    </row>
    <row r="16" customFormat="false" ht="15" hidden="false" customHeight="false" outlineLevel="0" collapsed="false">
      <c r="A16" s="6" t="n">
        <v>10</v>
      </c>
      <c r="B16" s="6" t="s">
        <v>61</v>
      </c>
      <c r="C16" s="6" t="s">
        <v>36</v>
      </c>
      <c r="D16" s="7" t="str">
        <f aca="false">INDEX(PARÂMETROS!$B$5:$B$12,MATCH(C16,PARÂMETROS!$A$5:$A$12,0))</f>
        <v>SAC 3.0</v>
      </c>
      <c r="E16" s="8" t="s">
        <v>95</v>
      </c>
      <c r="F16" s="8" t="s">
        <v>96</v>
      </c>
      <c r="G16" s="9"/>
      <c r="H16" s="6" t="s">
        <v>68</v>
      </c>
      <c r="I16" s="10" t="n">
        <v>0</v>
      </c>
      <c r="J16" s="6" t="s">
        <v>69</v>
      </c>
      <c r="K16" s="11" t="n">
        <f aca="false">IF(J16="SIM",I16,0)</f>
        <v>0</v>
      </c>
      <c r="L16" s="4" t="s">
        <v>97</v>
      </c>
    </row>
    <row r="17" customFormat="false" ht="15" hidden="false" customHeight="false" outlineLevel="0" collapsed="false">
      <c r="A17" s="6" t="n">
        <v>10</v>
      </c>
      <c r="B17" s="6" t="s">
        <v>61</v>
      </c>
      <c r="C17" s="6" t="s">
        <v>39</v>
      </c>
      <c r="D17" s="7" t="str">
        <f aca="false">INDEX(PARÂMETROS!$B$5:$B$12,MATCH(C17,PARÂMETROS!$A$5:$A$12,0))</f>
        <v>CONTEÚDO</v>
      </c>
      <c r="E17" s="8" t="s">
        <v>98</v>
      </c>
      <c r="F17" s="8" t="s">
        <v>99</v>
      </c>
      <c r="G17" s="9" t="n">
        <v>9</v>
      </c>
      <c r="H17" s="6" t="s">
        <v>100</v>
      </c>
      <c r="I17" s="10" t="n">
        <v>3490</v>
      </c>
      <c r="J17" s="6" t="s">
        <v>65</v>
      </c>
      <c r="K17" s="11" t="n">
        <f aca="false">IF(J17="SIM",I17,0)</f>
        <v>3490</v>
      </c>
      <c r="L17" s="4"/>
    </row>
    <row r="18" customFormat="false" ht="15" hidden="false" customHeight="false" outlineLevel="0" collapsed="false">
      <c r="A18" s="6" t="n">
        <v>10</v>
      </c>
      <c r="B18" s="6" t="s">
        <v>61</v>
      </c>
      <c r="C18" s="6" t="s">
        <v>39</v>
      </c>
      <c r="D18" s="7" t="str">
        <f aca="false">INDEX(PARÂMETROS!$B$5:$B$12,MATCH(C18,PARÂMETROS!$A$5:$A$12,0))</f>
        <v>CONTEÚDO</v>
      </c>
      <c r="E18" s="8" t="s">
        <v>101</v>
      </c>
      <c r="F18" s="8" t="s">
        <v>102</v>
      </c>
      <c r="G18" s="9" t="n">
        <v>4</v>
      </c>
      <c r="H18" s="6" t="s">
        <v>73</v>
      </c>
      <c r="I18" s="10" t="n">
        <v>1596</v>
      </c>
      <c r="J18" s="6" t="s">
        <v>65</v>
      </c>
      <c r="K18" s="11" t="n">
        <f aca="false">IF(J18="SIM",I18,0)</f>
        <v>1596</v>
      </c>
      <c r="L18" s="4"/>
    </row>
    <row r="19" customFormat="false" ht="15" hidden="false" customHeight="false" outlineLevel="0" collapsed="false">
      <c r="A19" s="6" t="n">
        <v>10</v>
      </c>
      <c r="B19" s="6" t="s">
        <v>61</v>
      </c>
      <c r="C19" s="6" t="s">
        <v>39</v>
      </c>
      <c r="D19" s="7" t="str">
        <f aca="false">INDEX(PARÂMETROS!$B$5:$B$12,MATCH(C19,PARÂMETROS!$A$5:$A$12,0))</f>
        <v>CONTEÚDO</v>
      </c>
      <c r="E19" s="8" t="s">
        <v>103</v>
      </c>
      <c r="F19" s="8" t="s">
        <v>104</v>
      </c>
      <c r="G19" s="9" t="n">
        <v>1</v>
      </c>
      <c r="H19" s="6" t="s">
        <v>73</v>
      </c>
      <c r="I19" s="10" t="n">
        <v>3000</v>
      </c>
      <c r="J19" s="6" t="s">
        <v>65</v>
      </c>
      <c r="K19" s="11" t="n">
        <f aca="false">IF(J19="SIM",I19,0)</f>
        <v>3000</v>
      </c>
      <c r="L19" s="4"/>
    </row>
    <row r="20" customFormat="false" ht="15" hidden="false" customHeight="false" outlineLevel="0" collapsed="false">
      <c r="A20" s="6" t="n">
        <v>10</v>
      </c>
      <c r="B20" s="6" t="s">
        <v>61</v>
      </c>
      <c r="C20" s="6" t="s">
        <v>42</v>
      </c>
      <c r="D20" s="7" t="str">
        <f aca="false">INDEX(PARÂMETROS!$B$5:$B$12,MATCH(C20,PARÂMETROS!$A$5:$A$12,0))</f>
        <v>INFLUENCIADORES</v>
      </c>
      <c r="E20" s="8" t="s">
        <v>105</v>
      </c>
      <c r="F20" s="8" t="s">
        <v>106</v>
      </c>
      <c r="G20" s="9" t="n">
        <v>7</v>
      </c>
      <c r="H20" s="6" t="s">
        <v>107</v>
      </c>
      <c r="I20" s="10" t="n">
        <v>2100</v>
      </c>
      <c r="J20" s="6" t="s">
        <v>65</v>
      </c>
      <c r="K20" s="11" t="n">
        <f aca="false">IF(J20="SIM",I20,0)</f>
        <v>2100</v>
      </c>
      <c r="L20" s="4" t="s">
        <v>108</v>
      </c>
    </row>
    <row r="21" customFormat="false" ht="15" hidden="false" customHeight="false" outlineLevel="0" collapsed="false">
      <c r="A21" s="6" t="n">
        <v>12</v>
      </c>
      <c r="B21" s="6" t="s">
        <v>109</v>
      </c>
      <c r="C21" s="6" t="s">
        <v>39</v>
      </c>
      <c r="D21" s="7" t="str">
        <f aca="false">INDEX(PARÂMETROS!$B$5:$B$12,MATCH(C21,PARÂMETROS!$A$5:$A$12,0))</f>
        <v>CONTEÚDO</v>
      </c>
      <c r="E21" s="8" t="s">
        <v>110</v>
      </c>
      <c r="F21" s="8" t="s">
        <v>111</v>
      </c>
      <c r="G21" s="9" t="n">
        <v>3</v>
      </c>
      <c r="H21" s="6" t="s">
        <v>100</v>
      </c>
      <c r="I21" s="10" t="n">
        <v>1139.25</v>
      </c>
      <c r="J21" s="6" t="s">
        <v>65</v>
      </c>
      <c r="K21" s="11" t="n">
        <f aca="false">IF(J21="SIM",I21,0)</f>
        <v>1139.25</v>
      </c>
      <c r="L21" s="4"/>
    </row>
    <row r="22" customFormat="false" ht="15" hidden="false" customHeight="false" outlineLevel="0" collapsed="false">
      <c r="A22" s="6" t="n">
        <v>12</v>
      </c>
      <c r="B22" s="6" t="s">
        <v>109</v>
      </c>
      <c r="C22" s="6" t="s">
        <v>39</v>
      </c>
      <c r="D22" s="7" t="str">
        <f aca="false">INDEX(PARÂMETROS!$B$5:$B$12,MATCH(C22,PARÂMETROS!$A$5:$A$12,0))</f>
        <v>CONTEÚDO</v>
      </c>
      <c r="E22" s="8" t="s">
        <v>112</v>
      </c>
      <c r="F22" s="8" t="s">
        <v>113</v>
      </c>
      <c r="G22" s="9" t="n">
        <v>3</v>
      </c>
      <c r="H22" s="6" t="s">
        <v>100</v>
      </c>
      <c r="I22" s="10" t="n">
        <v>1139.25</v>
      </c>
      <c r="J22" s="6" t="s">
        <v>65</v>
      </c>
      <c r="K22" s="11" t="n">
        <f aca="false">IF(J22="SIM",I22,0)</f>
        <v>1139.25</v>
      </c>
      <c r="L22" s="4"/>
    </row>
    <row r="23" customFormat="false" ht="15" hidden="false" customHeight="false" outlineLevel="0" collapsed="false">
      <c r="A23" s="6" t="n">
        <v>12</v>
      </c>
      <c r="B23" s="6" t="s">
        <v>109</v>
      </c>
      <c r="C23" s="6" t="s">
        <v>39</v>
      </c>
      <c r="D23" s="7" t="str">
        <f aca="false">INDEX(PARÂMETROS!$B$5:$B$12,MATCH(C23,PARÂMETROS!$A$5:$A$12,0))</f>
        <v>CONTEÚDO</v>
      </c>
      <c r="E23" s="8" t="s">
        <v>114</v>
      </c>
      <c r="F23" s="8" t="s">
        <v>115</v>
      </c>
      <c r="G23" s="9" t="n">
        <v>2</v>
      </c>
      <c r="H23" s="6" t="s">
        <v>73</v>
      </c>
      <c r="I23" s="10" t="n">
        <v>2866.5</v>
      </c>
      <c r="J23" s="6" t="s">
        <v>65</v>
      </c>
      <c r="K23" s="11" t="n">
        <f aca="false">IF(J23="SIM",I23,0)</f>
        <v>2866.5</v>
      </c>
      <c r="L23" s="4"/>
    </row>
    <row r="24" customFormat="false" ht="23.85" hidden="false" customHeight="false" outlineLevel="0" collapsed="false">
      <c r="A24" s="6" t="n">
        <v>12</v>
      </c>
      <c r="B24" s="6" t="s">
        <v>109</v>
      </c>
      <c r="C24" s="6" t="s">
        <v>35</v>
      </c>
      <c r="D24" s="7" t="str">
        <f aca="false">INDEX(PARÂMETROS!$B$5:$B$12,MATCH(C24,PARÂMETROS!$A$5:$A$12,0))</f>
        <v>MÍDIA</v>
      </c>
      <c r="E24" s="8" t="s">
        <v>116</v>
      </c>
      <c r="F24" s="8" t="s">
        <v>117</v>
      </c>
      <c r="G24" s="9" t="n">
        <v>20</v>
      </c>
      <c r="H24" s="6" t="s">
        <v>64</v>
      </c>
      <c r="I24" s="10" t="n">
        <v>0</v>
      </c>
      <c r="J24" s="6" t="s">
        <v>69</v>
      </c>
      <c r="K24" s="11" t="n">
        <f aca="false">IF(J24="SIM",I24,0)</f>
        <v>0</v>
      </c>
      <c r="L24" s="4" t="s">
        <v>83</v>
      </c>
    </row>
    <row r="25" customFormat="false" ht="15" hidden="false" customHeight="false" outlineLevel="0" collapsed="false">
      <c r="A25" s="6" t="n">
        <v>12</v>
      </c>
      <c r="B25" s="6" t="s">
        <v>109</v>
      </c>
      <c r="C25" s="6" t="s">
        <v>31</v>
      </c>
      <c r="D25" s="7" t="str">
        <f aca="false">INDEX(PARÂMETROS!$B$5:$B$12,MATCH(C25,PARÂMETROS!$A$5:$A$12,0))</f>
        <v>MÍDIA</v>
      </c>
      <c r="E25" s="8" t="s">
        <v>118</v>
      </c>
      <c r="F25" s="8" t="s">
        <v>119</v>
      </c>
      <c r="G25" s="9" t="n">
        <v>8</v>
      </c>
      <c r="H25" s="6" t="s">
        <v>120</v>
      </c>
      <c r="I25" s="10" t="n">
        <v>1250</v>
      </c>
      <c r="J25" s="6" t="s">
        <v>65</v>
      </c>
      <c r="K25" s="11" t="n">
        <f aca="false">IF(J25="SIM",I25,0)</f>
        <v>1250</v>
      </c>
      <c r="L25" s="4"/>
    </row>
    <row r="26" customFormat="false" ht="23.85" hidden="false" customHeight="false" outlineLevel="0" collapsed="false">
      <c r="A26" s="6" t="n">
        <v>12</v>
      </c>
      <c r="B26" s="6" t="s">
        <v>109</v>
      </c>
      <c r="C26" s="6" t="s">
        <v>31</v>
      </c>
      <c r="D26" s="7" t="str">
        <f aca="false">INDEX(PARÂMETROS!$B$5:$B$12,MATCH(C26,PARÂMETROS!$A$5:$A$12,0))</f>
        <v>MÍDIA</v>
      </c>
      <c r="E26" s="8" t="s">
        <v>121</v>
      </c>
      <c r="F26" s="8" t="s">
        <v>122</v>
      </c>
      <c r="G26" s="9" t="n">
        <v>8</v>
      </c>
      <c r="H26" s="6" t="s">
        <v>120</v>
      </c>
      <c r="I26" s="10" t="n">
        <v>1250</v>
      </c>
      <c r="J26" s="6" t="s">
        <v>65</v>
      </c>
      <c r="K26" s="11" t="n">
        <f aca="false">IF(J26="SIM",I26,0)</f>
        <v>1250</v>
      </c>
      <c r="L26" s="4"/>
    </row>
    <row r="27" customFormat="false" ht="35.05" hidden="false" customHeight="false" outlineLevel="0" collapsed="false">
      <c r="A27" s="6" t="n">
        <v>12</v>
      </c>
      <c r="B27" s="6" t="s">
        <v>109</v>
      </c>
      <c r="C27" s="6" t="s">
        <v>36</v>
      </c>
      <c r="D27" s="7" t="str">
        <f aca="false">INDEX(PARÂMETROS!$B$5:$B$12,MATCH(C27,PARÂMETROS!$A$5:$A$12,0))</f>
        <v>SAC 3.0</v>
      </c>
      <c r="E27" s="8" t="s">
        <v>123</v>
      </c>
      <c r="F27" s="8" t="s">
        <v>124</v>
      </c>
      <c r="G27" s="9" t="n">
        <v>300</v>
      </c>
      <c r="H27" s="6" t="s">
        <v>86</v>
      </c>
      <c r="I27" s="10" t="n">
        <v>1752.5</v>
      </c>
      <c r="J27" s="6" t="s">
        <v>65</v>
      </c>
      <c r="K27" s="11" t="n">
        <f aca="false">IF(J27="SIM",I27,0)</f>
        <v>1752.5</v>
      </c>
      <c r="L27" s="4"/>
    </row>
    <row r="28" customFormat="false" ht="15" hidden="false" customHeight="false" outlineLevel="0" collapsed="false">
      <c r="A28" s="6" t="n">
        <v>12</v>
      </c>
      <c r="B28" s="6" t="s">
        <v>109</v>
      </c>
      <c r="C28" s="6" t="s">
        <v>42</v>
      </c>
      <c r="D28" s="7" t="str">
        <f aca="false">INDEX(PARÂMETROS!$B$5:$B$12,MATCH(C28,PARÂMETROS!$A$5:$A$12,0))</f>
        <v>INFLUENCIADORES</v>
      </c>
      <c r="E28" s="8" t="s">
        <v>125</v>
      </c>
      <c r="F28" s="8" t="s">
        <v>126</v>
      </c>
      <c r="G28" s="9" t="n">
        <v>3</v>
      </c>
      <c r="H28" s="6" t="s">
        <v>107</v>
      </c>
      <c r="I28" s="10" t="n">
        <v>900</v>
      </c>
      <c r="J28" s="6" t="s">
        <v>65</v>
      </c>
      <c r="K28" s="11" t="n">
        <f aca="false">IF(J28="SIM",I28,0)</f>
        <v>900</v>
      </c>
      <c r="L28" s="4" t="s">
        <v>127</v>
      </c>
    </row>
    <row r="30" customFormat="false" ht="15" hidden="false" customHeight="false" outlineLevel="0" collapsed="false">
      <c r="J30" s="15" t="s">
        <v>128</v>
      </c>
      <c r="K30" s="16" t="n">
        <f aca="false">SUMIFS(K5:K28,B5:B28,"MAPED")</f>
        <v>33100</v>
      </c>
    </row>
    <row r="31" customFormat="false" ht="15" hidden="false" customHeight="false" outlineLevel="0" collapsed="false">
      <c r="J31" s="15" t="s">
        <v>129</v>
      </c>
      <c r="K31" s="16" t="n">
        <f aca="false">SUMIFS(K5:K28,B5:B28,"JANOD")</f>
        <v>10297.5</v>
      </c>
    </row>
    <row r="32" customFormat="false" ht="15" hidden="false" customHeight="false" outlineLevel="0" collapsed="false">
      <c r="J32" s="15" t="s">
        <v>130</v>
      </c>
      <c r="K32" s="16" t="n">
        <f aca="false">K30+K31</f>
        <v>43397.5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3.85" hidden="false" customHeight="false" outlineLevel="0" collapsed="false">
      <c r="A4" s="5" t="s">
        <v>29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138</v>
      </c>
    </row>
    <row r="5" customFormat="false" ht="15" hidden="false" customHeight="false" outlineLevel="0" collapsed="false">
      <c r="A5" s="3" t="s">
        <v>32</v>
      </c>
      <c r="B5" s="17" t="n">
        <f aca="false">SUMIFS('EMISSÃO 10-26'!$K$5:$K$28,'EMISSÃO 10-26'!$B$5:$B$28,"MAPED",'EMISSÃO 10-26'!$D$5:$D$28,A5)</f>
        <v>10094</v>
      </c>
      <c r="C5" s="18" t="n">
        <f aca="false">IF($B$9=0,0,B5/$B$9)</f>
        <v>0.304954682779456</v>
      </c>
      <c r="D5" s="6" t="n">
        <v>1</v>
      </c>
      <c r="E5" s="17" t="n">
        <f aca="false">SUMIFS('EMISSÃO 10-26'!$K$5:$K$28,'EMISSÃO 10-26'!$B$5:$B$28,"JANOD",'EMISSÃO 10-26'!$D$5:$D$28,A5)</f>
        <v>2500</v>
      </c>
      <c r="F5" s="18" t="n">
        <f aca="false">IF($E$9=0,0,E5/$E$9)</f>
        <v>0.242777373148823</v>
      </c>
      <c r="G5" s="6" t="n">
        <v>2</v>
      </c>
    </row>
    <row r="6" customFormat="false" ht="15" hidden="false" customHeight="false" outlineLevel="0" collapsed="false">
      <c r="A6" s="3" t="s">
        <v>37</v>
      </c>
      <c r="B6" s="17" t="n">
        <f aca="false">SUMIFS('EMISSÃO 10-26'!$K$5:$K$28,'EMISSÃO 10-26'!$B$5:$B$28,"MAPED",'EMISSÃO 10-26'!$D$5:$D$28,A6)</f>
        <v>12820</v>
      </c>
      <c r="C6" s="18" t="n">
        <f aca="false">IF($B$9=0,0,B6/$B$9)</f>
        <v>0.387311178247734</v>
      </c>
      <c r="D6" s="6" t="n">
        <v>2</v>
      </c>
      <c r="E6" s="17" t="n">
        <f aca="false">SUMIFS('EMISSÃO 10-26'!$K$5:$K$28,'EMISSÃO 10-26'!$B$5:$B$28,"JANOD",'EMISSÃO 10-26'!$D$5:$D$28,A6)</f>
        <v>1752.5</v>
      </c>
      <c r="F6" s="18" t="n">
        <f aca="false">IF($E$9=0,0,E6/$E$9)</f>
        <v>0.170186938577325</v>
      </c>
      <c r="G6" s="6" t="n">
        <v>3</v>
      </c>
    </row>
    <row r="7" customFormat="false" ht="15" hidden="false" customHeight="false" outlineLevel="0" collapsed="false">
      <c r="A7" s="3" t="s">
        <v>40</v>
      </c>
      <c r="B7" s="17" t="n">
        <f aca="false">SUMIFS('EMISSÃO 10-26'!$K$5:$K$28,'EMISSÃO 10-26'!$B$5:$B$28,"MAPED",'EMISSÃO 10-26'!$D$5:$D$28,A7)</f>
        <v>8086</v>
      </c>
      <c r="C7" s="18" t="n">
        <f aca="false">IF($B$9=0,0,B7/$B$9)</f>
        <v>0.24429003021148</v>
      </c>
      <c r="D7" s="6" t="n">
        <v>3</v>
      </c>
      <c r="E7" s="17" t="n">
        <f aca="false">SUMIFS('EMISSÃO 10-26'!$K$5:$K$28,'EMISSÃO 10-26'!$B$5:$B$28,"JANOD",'EMISSÃO 10-26'!$D$5:$D$28,A7)</f>
        <v>5145</v>
      </c>
      <c r="F7" s="18" t="n">
        <f aca="false">IF($E$9=0,0,E7/$E$9)</f>
        <v>0.499635833940277</v>
      </c>
      <c r="G7" s="6" t="n">
        <v>1</v>
      </c>
    </row>
    <row r="8" customFormat="false" ht="15" hidden="false" customHeight="false" outlineLevel="0" collapsed="false">
      <c r="A8" s="3" t="s">
        <v>43</v>
      </c>
      <c r="B8" s="17" t="n">
        <f aca="false">SUMIFS('EMISSÃO 10-26'!$K$5:$K$28,'EMISSÃO 10-26'!$B$5:$B$28,"MAPED",'EMISSÃO 10-26'!$D$5:$D$28,A8)</f>
        <v>2100</v>
      </c>
      <c r="C8" s="18" t="n">
        <f aca="false">IF($B$9=0,0,B8/$B$9)</f>
        <v>0.0634441087613293</v>
      </c>
      <c r="D8" s="6" t="n">
        <v>4</v>
      </c>
      <c r="E8" s="17" t="n">
        <f aca="false">SUMIFS('EMISSÃO 10-26'!$K$5:$K$28,'EMISSÃO 10-26'!$B$5:$B$28,"JANOD",'EMISSÃO 10-26'!$D$5:$D$28,A8)</f>
        <v>900</v>
      </c>
      <c r="F8" s="18" t="n">
        <f aca="false">IF($E$9=0,0,E8/$E$9)</f>
        <v>0.0873998543335761</v>
      </c>
      <c r="G8" s="6" t="n">
        <v>4</v>
      </c>
    </row>
    <row r="9" customFormat="false" ht="15" hidden="false" customHeight="false" outlineLevel="0" collapsed="false">
      <c r="A9" s="15" t="s">
        <v>139</v>
      </c>
      <c r="B9" s="16" t="n">
        <f aca="false">SUM(B5:B8)</f>
        <v>33100</v>
      </c>
      <c r="C9" s="19" t="n">
        <f aca="false">SUM(C5:C8)</f>
        <v>1</v>
      </c>
      <c r="E9" s="16" t="n">
        <f aca="false">SUM(E5:E8)</f>
        <v>10297.5</v>
      </c>
      <c r="F9" s="19" t="n">
        <f aca="false">SUM(F5:F8)</f>
        <v>1</v>
      </c>
    </row>
    <row r="11" customFormat="false" ht="15" hidden="false" customHeight="false" outlineLevel="0" collapsed="false">
      <c r="A11" s="3" t="s">
        <v>140</v>
      </c>
      <c r="B11" s="20" t="n">
        <f aca="false">B9+E9</f>
        <v>43397.5</v>
      </c>
    </row>
    <row r="13" customFormat="false" ht="15" hidden="false" customHeight="false" outlineLevel="0" collapsed="false">
      <c r="A13" s="3" t="s">
        <v>141</v>
      </c>
    </row>
    <row r="14" customFormat="false" ht="15" hidden="false" customHeight="false" outlineLevel="0" collapsed="false">
      <c r="A14" s="21" t="s">
        <v>142</v>
      </c>
      <c r="B14" s="7" t="n">
        <f aca="false">COUNTIFS('EMISSÃO 10-26'!$B$5:$B$28,"MAPED",'EMISSÃO 10-26'!$J$5:$J$28,"NÃO")</f>
        <v>3</v>
      </c>
    </row>
    <row r="15" customFormat="false" ht="15" hidden="false" customHeight="false" outlineLevel="0" collapsed="false">
      <c r="A15" s="21" t="s">
        <v>143</v>
      </c>
      <c r="B15" s="7" t="n">
        <f aca="false">COUNTIFS('EMISSÃO 10-26'!$B$5:$B$28,"JANOD",'EMISSÃO 10-26'!$J$5:$J$28,"NÃO")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5" t="s">
        <v>51</v>
      </c>
      <c r="B4" s="5" t="s">
        <v>29</v>
      </c>
      <c r="C4" s="5" t="s">
        <v>146</v>
      </c>
      <c r="D4" s="5" t="s">
        <v>147</v>
      </c>
      <c r="E4" s="5" t="s">
        <v>55</v>
      </c>
      <c r="F4" s="5" t="s">
        <v>56</v>
      </c>
      <c r="G4" s="5" t="s">
        <v>148</v>
      </c>
    </row>
    <row r="5" customFormat="false" ht="15" hidden="false" customHeight="false" outlineLevel="0" collapsed="false">
      <c r="A5" s="7" t="str">
        <f aca="false">'EMISSÃO 10-26'!B5</f>
        <v>MAPED</v>
      </c>
      <c r="B5" s="7" t="str">
        <f aca="false">'EMISSÃO 10-26'!D5</f>
        <v>MÍDIA</v>
      </c>
      <c r="C5" s="7" t="str">
        <f aca="false">'EMISSÃO 10-26'!F5</f>
        <v>Meta: gestão das 14 publicações</v>
      </c>
      <c r="D5" s="17" t="n">
        <f aca="false">'EMISSÃO 10-26'!K5</f>
        <v>3849</v>
      </c>
      <c r="E5" s="22" t="n">
        <f aca="false">'EMISSÃO 10-26'!G5</f>
        <v>14</v>
      </c>
      <c r="F5" s="7" t="str">
        <f aca="false">'EMISSÃO 10-26'!H5</f>
        <v>publicação</v>
      </c>
      <c r="G5" s="11" t="n">
        <f aca="false">IF(E5=0,0,D5/E5)</f>
        <v>274.928571428571</v>
      </c>
    </row>
    <row r="6" customFormat="false" ht="15" hidden="false" customHeight="false" outlineLevel="0" collapsed="false">
      <c r="A6" s="7" t="str">
        <f aca="false">'EMISSÃO 10-26'!B7</f>
        <v>MAPED</v>
      </c>
      <c r="B6" s="7" t="str">
        <f aca="false">'EMISSÃO 10-26'!D7</f>
        <v>MÍDIA</v>
      </c>
      <c r="C6" s="7" t="str">
        <f aca="false">'EMISSÃO 10-26'!F7</f>
        <v>TikTok: patrocínio dos 5 vídeos</v>
      </c>
      <c r="D6" s="17" t="n">
        <f aca="false">'EMISSÃO 10-26'!K7</f>
        <v>1745</v>
      </c>
      <c r="E6" s="22" t="n">
        <f aca="false">'EMISSÃO 10-26'!G7</f>
        <v>5</v>
      </c>
      <c r="F6" s="7" t="str">
        <f aca="false">'EMISSÃO 10-26'!H7</f>
        <v>vídeo</v>
      </c>
      <c r="G6" s="11" t="n">
        <f aca="false">IF(E6=0,0,D6/E6)</f>
        <v>349</v>
      </c>
    </row>
    <row r="7" customFormat="false" ht="15" hidden="false" customHeight="false" outlineLevel="0" collapsed="false">
      <c r="A7" s="7" t="str">
        <f aca="false">'EMISSÃO 10-26'!B12</f>
        <v>MAPED</v>
      </c>
      <c r="B7" s="7" t="str">
        <f aca="false">'EMISSÃO 10-26'!D12</f>
        <v>SAC 3.0</v>
      </c>
      <c r="C7" s="7" t="str">
        <f aca="false">'EMISSÃO 10-26'!F12</f>
        <v>SAC redes: até 1.000 interações, seg a seg</v>
      </c>
      <c r="D7" s="17" t="n">
        <f aca="false">'EMISSÃO 10-26'!K12</f>
        <v>6048</v>
      </c>
      <c r="E7" s="22" t="n">
        <f aca="false">'EMISSÃO 10-26'!G12</f>
        <v>1000</v>
      </c>
      <c r="F7" s="7" t="str">
        <f aca="false">'EMISSÃO 10-26'!H12</f>
        <v>interação</v>
      </c>
      <c r="G7" s="11" t="n">
        <f aca="false">IF(E7=0,0,D7/E7)</f>
        <v>6.048</v>
      </c>
    </row>
    <row r="8" customFormat="false" ht="15" hidden="false" customHeight="false" outlineLevel="0" collapsed="false">
      <c r="A8" s="7" t="str">
        <f aca="false">'EMISSÃO 10-26'!B13</f>
        <v>MAPED</v>
      </c>
      <c r="B8" s="7" t="str">
        <f aca="false">'EMISSÃO 10-26'!D13</f>
        <v>SAC 3.0</v>
      </c>
      <c r="C8" s="7" t="str">
        <f aca="false">'EMISSÃO 10-26'!F13</f>
        <v>SAC e-mail: até 500 mensagens</v>
      </c>
      <c r="D8" s="17" t="n">
        <f aca="false">'EMISSÃO 10-26'!K13</f>
        <v>2444</v>
      </c>
      <c r="E8" s="22" t="n">
        <f aca="false">'EMISSÃO 10-26'!G13</f>
        <v>500</v>
      </c>
      <c r="F8" s="7" t="str">
        <f aca="false">'EMISSÃO 10-26'!H13</f>
        <v>mensagem</v>
      </c>
      <c r="G8" s="11" t="n">
        <f aca="false">IF(E8=0,0,D8/E8)</f>
        <v>4.888</v>
      </c>
    </row>
    <row r="9" customFormat="false" ht="15" hidden="false" customHeight="false" outlineLevel="0" collapsed="false">
      <c r="A9" s="7" t="str">
        <f aca="false">'EMISSÃO 10-26'!B14</f>
        <v>MAPED</v>
      </c>
      <c r="B9" s="7" t="str">
        <f aca="false">'EMISSÃO 10-26'!D14</f>
        <v>SAC 3.0</v>
      </c>
      <c r="C9" s="7" t="str">
        <f aca="false">'EMISSÃO 10-26'!F14</f>
        <v>Reclamações e envios: até 40 casos</v>
      </c>
      <c r="D9" s="17" t="n">
        <f aca="false">'EMISSÃO 10-26'!K14</f>
        <v>2328</v>
      </c>
      <c r="E9" s="22" t="n">
        <f aca="false">'EMISSÃO 10-26'!G14</f>
        <v>40</v>
      </c>
      <c r="F9" s="7" t="str">
        <f aca="false">'EMISSÃO 10-26'!H14</f>
        <v>caso</v>
      </c>
      <c r="G9" s="11" t="n">
        <f aca="false">IF(E9=0,0,D9/E9)</f>
        <v>58.2</v>
      </c>
    </row>
    <row r="10" customFormat="false" ht="15" hidden="false" customHeight="false" outlineLevel="0" collapsed="false">
      <c r="A10" s="7" t="str">
        <f aca="false">'EMISSÃO 10-26'!B17</f>
        <v>MAPED</v>
      </c>
      <c r="B10" s="7" t="str">
        <f aca="false">'EMISSÃO 10-26'!D17</f>
        <v>CONTEÚDO</v>
      </c>
      <c r="C10" s="7" t="str">
        <f aca="false">'EMISSÃO 10-26'!F17</f>
        <v>5 fotos + 4 gráficos</v>
      </c>
      <c r="D10" s="17" t="n">
        <f aca="false">'EMISSÃO 10-26'!K17</f>
        <v>3490</v>
      </c>
      <c r="E10" s="22" t="n">
        <f aca="false">'EMISSÃO 10-26'!G17</f>
        <v>9</v>
      </c>
      <c r="F10" s="7" t="str">
        <f aca="false">'EMISSÃO 10-26'!H17</f>
        <v>post</v>
      </c>
      <c r="G10" s="11" t="n">
        <f aca="false">IF(E10=0,0,D10/E10)</f>
        <v>387.777777777778</v>
      </c>
    </row>
    <row r="11" customFormat="false" ht="15" hidden="false" customHeight="false" outlineLevel="0" collapsed="false">
      <c r="A11" s="7" t="str">
        <f aca="false">'EMISSÃO 10-26'!B18</f>
        <v>MAPED</v>
      </c>
      <c r="B11" s="7" t="str">
        <f aca="false">'EMISSÃO 10-26'!D18</f>
        <v>CONTEÚDO</v>
      </c>
      <c r="C11" s="7" t="str">
        <f aca="false">'EMISSÃO 10-26'!F18</f>
        <v>4 vídeos FR adaptados</v>
      </c>
      <c r="D11" s="17" t="n">
        <f aca="false">'EMISSÃO 10-26'!K18</f>
        <v>1596</v>
      </c>
      <c r="E11" s="22" t="n">
        <f aca="false">'EMISSÃO 10-26'!G18</f>
        <v>4</v>
      </c>
      <c r="F11" s="7" t="str">
        <f aca="false">'EMISSÃO 10-26'!H18</f>
        <v>vídeo</v>
      </c>
      <c r="G11" s="11" t="n">
        <f aca="false">IF(E11=0,0,D11/E11)</f>
        <v>399</v>
      </c>
    </row>
    <row r="12" customFormat="false" ht="15" hidden="false" customHeight="false" outlineLevel="0" collapsed="false">
      <c r="A12" s="7" t="str">
        <f aca="false">'EMISSÃO 10-26'!B20</f>
        <v>MAPED</v>
      </c>
      <c r="B12" s="7" t="str">
        <f aca="false">'EMISSÃO 10-26'!D20</f>
        <v>INFLUENCIADORES</v>
      </c>
      <c r="C12" s="7" t="str">
        <f aca="false">'EMISSÃO 10-26'!F20</f>
        <v>7 seedings por mês</v>
      </c>
      <c r="D12" s="17" t="n">
        <f aca="false">'EMISSÃO 10-26'!K20</f>
        <v>2100</v>
      </c>
      <c r="E12" s="22" t="n">
        <f aca="false">'EMISSÃO 10-26'!G20</f>
        <v>7</v>
      </c>
      <c r="F12" s="7" t="str">
        <f aca="false">'EMISSÃO 10-26'!H20</f>
        <v>seeding</v>
      </c>
      <c r="G12" s="11" t="n">
        <f aca="false">IF(E12=0,0,D12/E12)</f>
        <v>300</v>
      </c>
    </row>
    <row r="13" customFormat="false" ht="15" hidden="false" customHeight="false" outlineLevel="0" collapsed="false">
      <c r="A13" s="7" t="str">
        <f aca="false">'EMISSÃO 10-26'!B21</f>
        <v>JANOD</v>
      </c>
      <c r="B13" s="7" t="str">
        <f aca="false">'EMISSÃO 10-26'!D21</f>
        <v>CONTEÚDO</v>
      </c>
      <c r="C13" s="7" t="str">
        <f aca="false">'EMISSÃO 10-26'!F21</f>
        <v>3 gráficos</v>
      </c>
      <c r="D13" s="17" t="n">
        <f aca="false">'EMISSÃO 10-26'!K21</f>
        <v>1139.25</v>
      </c>
      <c r="E13" s="22" t="n">
        <f aca="false">'EMISSÃO 10-26'!G21</f>
        <v>3</v>
      </c>
      <c r="F13" s="7" t="str">
        <f aca="false">'EMISSÃO 10-26'!H21</f>
        <v>post</v>
      </c>
      <c r="G13" s="11" t="n">
        <f aca="false">IF(E13=0,0,D13/E13)</f>
        <v>379.75</v>
      </c>
    </row>
    <row r="14" customFormat="false" ht="15" hidden="false" customHeight="false" outlineLevel="0" collapsed="false">
      <c r="A14" s="7" t="str">
        <f aca="false">'EMISSÃO 10-26'!B22</f>
        <v>JANOD</v>
      </c>
      <c r="B14" s="7" t="str">
        <f aca="false">'EMISSÃO 10-26'!D22</f>
        <v>CONTEÚDO</v>
      </c>
      <c r="C14" s="7" t="str">
        <f aca="false">'EMISSÃO 10-26'!F22</f>
        <v>3 fotos</v>
      </c>
      <c r="D14" s="17" t="n">
        <f aca="false">'EMISSÃO 10-26'!K22</f>
        <v>1139.25</v>
      </c>
      <c r="E14" s="22" t="n">
        <f aca="false">'EMISSÃO 10-26'!G22</f>
        <v>3</v>
      </c>
      <c r="F14" s="7" t="str">
        <f aca="false">'EMISSÃO 10-26'!H22</f>
        <v>post</v>
      </c>
      <c r="G14" s="11" t="n">
        <f aca="false">IF(E14=0,0,D14/E14)</f>
        <v>379.75</v>
      </c>
    </row>
    <row r="15" customFormat="false" ht="15" hidden="false" customHeight="false" outlineLevel="0" collapsed="false">
      <c r="A15" s="7" t="str">
        <f aca="false">'EMISSÃO 10-26'!B23</f>
        <v>JANOD</v>
      </c>
      <c r="B15" s="7" t="str">
        <f aca="false">'EMISSÃO 10-26'!D23</f>
        <v>CONTEÚDO</v>
      </c>
      <c r="C15" s="7" t="str">
        <f aca="false">'EMISSÃO 10-26'!F23</f>
        <v>2 vídeos 9:16</v>
      </c>
      <c r="D15" s="17" t="n">
        <f aca="false">'EMISSÃO 10-26'!K23</f>
        <v>2866.5</v>
      </c>
      <c r="E15" s="22" t="n">
        <f aca="false">'EMISSÃO 10-26'!G23</f>
        <v>2</v>
      </c>
      <c r="F15" s="7" t="str">
        <f aca="false">'EMISSÃO 10-26'!H23</f>
        <v>vídeo</v>
      </c>
      <c r="G15" s="11" t="n">
        <f aca="false">IF(E15=0,0,D15/E15)</f>
        <v>1433.25</v>
      </c>
    </row>
    <row r="16" customFormat="false" ht="15" hidden="false" customHeight="false" outlineLevel="0" collapsed="false">
      <c r="A16" s="7" t="str">
        <f aca="false">'EMISSÃO 10-26'!B25</f>
        <v>JANOD</v>
      </c>
      <c r="B16" s="7" t="str">
        <f aca="false">'EMISSÃO 10-26'!D25</f>
        <v>MÍDIA</v>
      </c>
      <c r="C16" s="7" t="str">
        <f aca="false">'EMISSÃO 10-26'!F25</f>
        <v>Meta: 6 posts + 2 vídeos</v>
      </c>
      <c r="D16" s="17" t="n">
        <f aca="false">'EMISSÃO 10-26'!K25</f>
        <v>1250</v>
      </c>
      <c r="E16" s="22" t="n">
        <f aca="false">'EMISSÃO 10-26'!G25</f>
        <v>8</v>
      </c>
      <c r="F16" s="7" t="str">
        <f aca="false">'EMISSÃO 10-26'!H25</f>
        <v>peça</v>
      </c>
      <c r="G16" s="11" t="n">
        <f aca="false">IF(E16=0,0,D16/E16)</f>
        <v>156.25</v>
      </c>
    </row>
    <row r="17" customFormat="false" ht="15" hidden="false" customHeight="false" outlineLevel="0" collapsed="false">
      <c r="A17" s="7" t="str">
        <f aca="false">'EMISSÃO 10-26'!B26</f>
        <v>JANOD</v>
      </c>
      <c r="B17" s="7" t="str">
        <f aca="false">'EMISSÃO 10-26'!D26</f>
        <v>MÍDIA</v>
      </c>
      <c r="C17" s="7" t="str">
        <f aca="false">'EMISSÃO 10-26'!F26</f>
        <v>Google: 6 posts + 2 vídeos</v>
      </c>
      <c r="D17" s="17" t="n">
        <f aca="false">'EMISSÃO 10-26'!K26</f>
        <v>1250</v>
      </c>
      <c r="E17" s="22" t="n">
        <f aca="false">'EMISSÃO 10-26'!G26</f>
        <v>8</v>
      </c>
      <c r="F17" s="7" t="str">
        <f aca="false">'EMISSÃO 10-26'!H26</f>
        <v>peça</v>
      </c>
      <c r="G17" s="11" t="n">
        <f aca="false">IF(E17=0,0,D17/E17)</f>
        <v>156.25</v>
      </c>
    </row>
    <row r="18" customFormat="false" ht="15" hidden="false" customHeight="false" outlineLevel="0" collapsed="false">
      <c r="A18" s="7" t="str">
        <f aca="false">'EMISSÃO 10-26'!B27</f>
        <v>JANOD</v>
      </c>
      <c r="B18" s="7" t="str">
        <f aca="false">'EMISSÃO 10-26'!D27</f>
        <v>SAC 3.0</v>
      </c>
      <c r="C18" s="7" t="str">
        <f aca="false">'EMISSÃO 10-26'!F27</f>
        <v>SAC Facebook e Instagram: até 300 interações</v>
      </c>
      <c r="D18" s="17" t="n">
        <f aca="false">'EMISSÃO 10-26'!K27</f>
        <v>1752.5</v>
      </c>
      <c r="E18" s="22" t="n">
        <f aca="false">'EMISSÃO 10-26'!G27</f>
        <v>300</v>
      </c>
      <c r="F18" s="7" t="str">
        <f aca="false">'EMISSÃO 10-26'!H27</f>
        <v>interação</v>
      </c>
      <c r="G18" s="11" t="n">
        <f aca="false">IF(E18=0,0,D18/E18)</f>
        <v>5.84166666666667</v>
      </c>
    </row>
    <row r="19" customFormat="false" ht="15" hidden="false" customHeight="false" outlineLevel="0" collapsed="false">
      <c r="A19" s="7" t="str">
        <f aca="false">'EMISSÃO 10-26'!B28</f>
        <v>JANOD</v>
      </c>
      <c r="B19" s="7" t="str">
        <f aca="false">'EMISSÃO 10-26'!D28</f>
        <v>INFLUENCIADORES</v>
      </c>
      <c r="C19" s="7" t="str">
        <f aca="false">'EMISSÃO 10-26'!F28</f>
        <v>3 seedings por mês</v>
      </c>
      <c r="D19" s="17" t="n">
        <f aca="false">'EMISSÃO 10-26'!K28</f>
        <v>900</v>
      </c>
      <c r="E19" s="22" t="n">
        <f aca="false">'EMISSÃO 10-26'!G28</f>
        <v>3</v>
      </c>
      <c r="F19" s="7" t="str">
        <f aca="false">'EMISSÃO 10-26'!H28</f>
        <v>seeding</v>
      </c>
      <c r="G19" s="11" t="n">
        <f aca="false">IF(E19=0,0,D19/E19)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2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3" t="s">
        <v>151</v>
      </c>
      <c r="B4" s="23" t="n">
        <v>0.3</v>
      </c>
    </row>
    <row r="6" customFormat="false" ht="15" hidden="false" customHeight="false" outlineLevel="0" collapsed="false">
      <c r="A6" s="5" t="s">
        <v>51</v>
      </c>
      <c r="B6" s="5" t="s">
        <v>50</v>
      </c>
      <c r="C6" s="5" t="s">
        <v>152</v>
      </c>
      <c r="D6" s="5" t="s">
        <v>153</v>
      </c>
      <c r="E6" s="5" t="s">
        <v>154</v>
      </c>
    </row>
    <row r="7" customFormat="false" ht="15" hidden="false" customHeight="false" outlineLevel="0" collapsed="false">
      <c r="A7" s="3" t="s">
        <v>61</v>
      </c>
      <c r="B7" s="6" t="n">
        <v>3139</v>
      </c>
      <c r="C7" s="10" t="n">
        <v>994.53</v>
      </c>
      <c r="D7" s="11" t="n">
        <f aca="false">C7/(1+$B$4)</f>
        <v>765.023076923077</v>
      </c>
      <c r="E7" s="11" t="n">
        <f aca="false">C7-D7</f>
        <v>229.506923076923</v>
      </c>
    </row>
    <row r="8" customFormat="false" ht="15" hidden="false" customHeight="false" outlineLevel="0" collapsed="false">
      <c r="A8" s="3" t="s">
        <v>109</v>
      </c>
      <c r="B8" s="6" t="n">
        <v>3141</v>
      </c>
      <c r="C8" s="10" t="n">
        <v>827.36</v>
      </c>
      <c r="D8" s="11" t="n">
        <f aca="false">C8/(1+$B$4)</f>
        <v>636.430769230769</v>
      </c>
      <c r="E8" s="11" t="n">
        <f aca="false">C8-D8</f>
        <v>190.929230769231</v>
      </c>
    </row>
    <row r="9" customFormat="false" ht="15" hidden="false" customHeight="false" outlineLevel="0" collapsed="false">
      <c r="A9" s="15" t="s">
        <v>155</v>
      </c>
      <c r="C9" s="16" t="n">
        <f aca="false">SUM(C7:C8)</f>
        <v>1821.89</v>
      </c>
      <c r="D9" s="16" t="n">
        <f aca="false">SUM(D7:D8)</f>
        <v>1401.45384615385</v>
      </c>
      <c r="E9" s="16" t="n">
        <f aca="false">SUM(E7:E8)</f>
        <v>420.436153846154</v>
      </c>
    </row>
    <row r="11" customFormat="false" ht="45" hidden="false" customHeight="true" outlineLevel="0" collapsed="false">
      <c r="A11" s="24" t="s">
        <v>156</v>
      </c>
      <c r="B11" s="24"/>
      <c r="C11" s="24"/>
      <c r="D11" s="24"/>
      <c r="E11" s="24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A4" s="5" t="s">
        <v>159</v>
      </c>
      <c r="B4" s="5" t="s">
        <v>133</v>
      </c>
      <c r="C4" s="5" t="s">
        <v>136</v>
      </c>
      <c r="D4" s="5" t="s">
        <v>160</v>
      </c>
    </row>
    <row r="5" customFormat="false" ht="15" hidden="false" customHeight="false" outlineLevel="0" collapsed="false">
      <c r="A5" s="21" t="s">
        <v>161</v>
      </c>
      <c r="B5" s="17" t="n">
        <f aca="false">'CENTRO DE CUSTO'!B9</f>
        <v>33100</v>
      </c>
      <c r="C5" s="17" t="n">
        <f aca="false">'CENTRO DE CUSTO'!E9</f>
        <v>10297.5</v>
      </c>
      <c r="D5" s="11" t="n">
        <f aca="false">B5+C5</f>
        <v>43397.5</v>
      </c>
    </row>
    <row r="6" customFormat="false" ht="15" hidden="false" customHeight="false" outlineLevel="0" collapsed="false">
      <c r="A6" s="21" t="s">
        <v>162</v>
      </c>
      <c r="B6" s="17" t="n">
        <f aca="false">'EMISSÃO 10-26'!K30</f>
        <v>33100</v>
      </c>
      <c r="C6" s="17" t="n">
        <f aca="false">'EMISSÃO 10-26'!K31</f>
        <v>10297.5</v>
      </c>
      <c r="D6" s="11" t="n">
        <f aca="false">B6+C6</f>
        <v>43397.5</v>
      </c>
    </row>
    <row r="7" customFormat="false" ht="15" hidden="false" customHeight="false" outlineLevel="0" collapsed="false">
      <c r="A7" s="21" t="s">
        <v>163</v>
      </c>
      <c r="B7" s="10" t="n">
        <v>33100</v>
      </c>
      <c r="C7" s="10" t="n">
        <v>10297.5</v>
      </c>
      <c r="D7" s="11" t="n">
        <f aca="false">B7+C7</f>
        <v>43397.5</v>
      </c>
    </row>
    <row r="8" customFormat="false" ht="15" hidden="false" customHeight="false" outlineLevel="0" collapsed="false">
      <c r="A8" s="21" t="s">
        <v>164</v>
      </c>
      <c r="B8" s="10" t="n">
        <v>33100</v>
      </c>
      <c r="C8" s="10" t="n">
        <v>10297.5</v>
      </c>
      <c r="D8" s="11" t="n">
        <f aca="false">B8+C8</f>
        <v>43397.5</v>
      </c>
    </row>
    <row r="9" customFormat="false" ht="15" hidden="false" customHeight="false" outlineLevel="0" collapsed="false">
      <c r="A9" s="21" t="s">
        <v>165</v>
      </c>
      <c r="B9" s="17" t="n">
        <f aca="false">REEMBOLSO!C7</f>
        <v>994.53</v>
      </c>
      <c r="C9" s="17" t="n">
        <f aca="false">REEMBOLSO!C8</f>
        <v>827.36</v>
      </c>
      <c r="D9" s="11" t="n">
        <f aca="false">B9+C9</f>
        <v>1821.89</v>
      </c>
    </row>
    <row r="10" customFormat="false" ht="15" hidden="false" customHeight="false" outlineLevel="0" collapsed="false">
      <c r="A10" s="21" t="s">
        <v>166</v>
      </c>
      <c r="B10" s="10" t="n">
        <v>34094.53</v>
      </c>
      <c r="C10" s="10" t="n">
        <v>11124.86</v>
      </c>
      <c r="D10" s="11" t="n">
        <f aca="false">B10+C10</f>
        <v>45219.39</v>
      </c>
    </row>
    <row r="12" customFormat="false" ht="15" hidden="false" customHeight="false" outlineLevel="0" collapsed="false">
      <c r="A12" s="3" t="s">
        <v>167</v>
      </c>
    </row>
    <row r="13" customFormat="false" ht="15" hidden="false" customHeight="false" outlineLevel="0" collapsed="false">
      <c r="A13" s="21" t="s">
        <v>168</v>
      </c>
      <c r="B13" s="25" t="str">
        <f aca="false">IF(ABS(B5-B6)&lt;0.01,"OK","DIFERENÇA")</f>
        <v>OK</v>
      </c>
      <c r="C13" s="25" t="str">
        <f aca="false">IF(ABS(C5-C6)&lt;0.01,"OK","DIFERENÇA")</f>
        <v>OK</v>
      </c>
    </row>
    <row r="14" customFormat="false" ht="15" hidden="false" customHeight="false" outlineLevel="0" collapsed="false">
      <c r="A14" s="21" t="s">
        <v>169</v>
      </c>
      <c r="B14" s="25" t="str">
        <f aca="false">IF(ABS(B6-B7)&lt;0.01,"OK","DIFERENÇA")</f>
        <v>OK</v>
      </c>
      <c r="C14" s="25" t="str">
        <f aca="false">IF(ABS(C6-C7)&lt;0.01,"OK","DIFERENÇA")</f>
        <v>OK</v>
      </c>
    </row>
    <row r="15" customFormat="false" ht="15" hidden="false" customHeight="false" outlineLevel="0" collapsed="false">
      <c r="A15" s="21" t="s">
        <v>170</v>
      </c>
      <c r="B15" s="25" t="str">
        <f aca="false">IF(ABS(B6-B8)&lt;0.01,"OK","DIFERENÇA")</f>
        <v>OK</v>
      </c>
      <c r="C15" s="25" t="str">
        <f aca="false">IF(ABS(C6-C8)&lt;0.01,"OK","DIFERENÇA")</f>
        <v>OK</v>
      </c>
    </row>
    <row r="16" customFormat="false" ht="15" hidden="false" customHeight="false" outlineLevel="0" collapsed="false">
      <c r="A16" s="21" t="s">
        <v>171</v>
      </c>
      <c r="B16" s="25" t="str">
        <f aca="false">IF(ABS(B8+B9-B10)&lt;0.01,"OK","DIFERENÇA")</f>
        <v>OK</v>
      </c>
      <c r="C16" s="25" t="str">
        <f aca="false">IF(ABS(C8+C9-C10)&lt;0.01,"OK","DIFERENÇA")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4" min="3" style="0" width="17"/>
    <col collapsed="false" customWidth="true" hidden="false" outlineLevel="0" max="5" min="5" style="0" width="15"/>
    <col collapsed="false" customWidth="true" hidden="false" outlineLevel="0" max="7" min="6" style="0" width="17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3" t="s">
        <v>174</v>
      </c>
      <c r="B4" s="6" t="n">
        <v>12</v>
      </c>
    </row>
    <row r="5" customFormat="false" ht="15" hidden="false" customHeight="false" outlineLevel="0" collapsed="false">
      <c r="A5" s="3" t="s">
        <v>175</v>
      </c>
      <c r="B5" s="6" t="n">
        <v>3</v>
      </c>
    </row>
    <row r="7" customFormat="false" ht="15" hidden="false" customHeight="false" outlineLevel="0" collapsed="false">
      <c r="A7" s="5" t="s">
        <v>29</v>
      </c>
      <c r="B7" s="5" t="s">
        <v>176</v>
      </c>
      <c r="C7" s="5" t="s">
        <v>177</v>
      </c>
      <c r="D7" s="5" t="s">
        <v>178</v>
      </c>
      <c r="E7" s="5" t="s">
        <v>179</v>
      </c>
      <c r="F7" s="5" t="s">
        <v>180</v>
      </c>
      <c r="G7" s="5" t="s">
        <v>181</v>
      </c>
    </row>
    <row r="8" customFormat="false" ht="15" hidden="false" customHeight="false" outlineLevel="0" collapsed="false">
      <c r="A8" s="3" t="s">
        <v>32</v>
      </c>
      <c r="B8" s="17" t="n">
        <f aca="false">'CENTRO DE CUSTO'!B5</f>
        <v>10094</v>
      </c>
      <c r="C8" s="11" t="n">
        <f aca="false">B8*$B$5</f>
        <v>30282</v>
      </c>
      <c r="D8" s="11" t="n">
        <f aca="false">B8*$B$4</f>
        <v>121128</v>
      </c>
      <c r="E8" s="17" t="n">
        <f aca="false">'CENTRO DE CUSTO'!E5</f>
        <v>2500</v>
      </c>
      <c r="F8" s="11" t="n">
        <f aca="false">E8*$B$5</f>
        <v>7500</v>
      </c>
      <c r="G8" s="11" t="n">
        <f aca="false">E8*$B$4</f>
        <v>30000</v>
      </c>
    </row>
    <row r="9" customFormat="false" ht="15" hidden="false" customHeight="false" outlineLevel="0" collapsed="false">
      <c r="A9" s="3" t="s">
        <v>37</v>
      </c>
      <c r="B9" s="17" t="n">
        <f aca="false">'CENTRO DE CUSTO'!B6</f>
        <v>12820</v>
      </c>
      <c r="C9" s="11" t="n">
        <f aca="false">B9*$B$5</f>
        <v>38460</v>
      </c>
      <c r="D9" s="11" t="n">
        <f aca="false">B9*$B$4</f>
        <v>153840</v>
      </c>
      <c r="E9" s="17" t="n">
        <f aca="false">'CENTRO DE CUSTO'!E6</f>
        <v>1752.5</v>
      </c>
      <c r="F9" s="11" t="n">
        <f aca="false">E9*$B$5</f>
        <v>5257.5</v>
      </c>
      <c r="G9" s="11" t="n">
        <f aca="false">E9*$B$4</f>
        <v>21030</v>
      </c>
    </row>
    <row r="10" customFormat="false" ht="15" hidden="false" customHeight="false" outlineLevel="0" collapsed="false">
      <c r="A10" s="3" t="s">
        <v>40</v>
      </c>
      <c r="B10" s="17" t="n">
        <f aca="false">'CENTRO DE CUSTO'!B7</f>
        <v>8086</v>
      </c>
      <c r="C10" s="11" t="n">
        <f aca="false">B10*$B$5</f>
        <v>24258</v>
      </c>
      <c r="D10" s="11" t="n">
        <f aca="false">B10*$B$4</f>
        <v>97032</v>
      </c>
      <c r="E10" s="17" t="n">
        <f aca="false">'CENTRO DE CUSTO'!E7</f>
        <v>5145</v>
      </c>
      <c r="F10" s="11" t="n">
        <f aca="false">E10*$B$5</f>
        <v>15435</v>
      </c>
      <c r="G10" s="11" t="n">
        <f aca="false">E10*$B$4</f>
        <v>61740</v>
      </c>
    </row>
    <row r="11" customFormat="false" ht="15" hidden="false" customHeight="false" outlineLevel="0" collapsed="false">
      <c r="A11" s="3" t="s">
        <v>43</v>
      </c>
      <c r="B11" s="17" t="n">
        <f aca="false">'CENTRO DE CUSTO'!B8</f>
        <v>2100</v>
      </c>
      <c r="C11" s="11" t="n">
        <f aca="false">B11*$B$5</f>
        <v>6300</v>
      </c>
      <c r="D11" s="11" t="n">
        <f aca="false">B11*$B$4</f>
        <v>25200</v>
      </c>
      <c r="E11" s="17" t="n">
        <f aca="false">'CENTRO DE CUSTO'!E8</f>
        <v>900</v>
      </c>
      <c r="F11" s="11" t="n">
        <f aca="false">E11*$B$5</f>
        <v>2700</v>
      </c>
      <c r="G11" s="11" t="n">
        <f aca="false">E11*$B$4</f>
        <v>10800</v>
      </c>
    </row>
    <row r="12" customFormat="false" ht="15" hidden="false" customHeight="false" outlineLevel="0" collapsed="false">
      <c r="A12" s="15" t="s">
        <v>155</v>
      </c>
      <c r="B12" s="16" t="n">
        <f aca="false">SUM(B8:B11)</f>
        <v>33100</v>
      </c>
      <c r="C12" s="16" t="n">
        <f aca="false">SUM(C8:C11)</f>
        <v>99300</v>
      </c>
      <c r="D12" s="16" t="n">
        <f aca="false">SUM(D8:D11)</f>
        <v>397200</v>
      </c>
      <c r="E12" s="16" t="n">
        <f aca="false">SUM(E8:E11)</f>
        <v>10297.5</v>
      </c>
      <c r="F12" s="16" t="n">
        <f aca="false">SUM(F8:F11)</f>
        <v>30892.5</v>
      </c>
      <c r="G12" s="16" t="n">
        <f aca="false">SUM(G8:G11)</f>
        <v>123570</v>
      </c>
    </row>
    <row r="14" customFormat="false" ht="15" hidden="false" customHeight="false" outlineLevel="0" collapsed="false">
      <c r="A14" s="3" t="s">
        <v>182</v>
      </c>
      <c r="B14" s="20" t="n">
        <f aca="false">D12+G12</f>
        <v>520770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2026-10-21T18:21:51Z</dcterms:created>
  <dc:creator>openpyxl</dc:creator>
  <dc:description/>
  <dc:language>en-US</dc:language>
  <cp:lastModifiedBy/>
  <dcterms:modified xsi:type="dcterms:W3CDTF">2026-10-21T18:21:51Z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